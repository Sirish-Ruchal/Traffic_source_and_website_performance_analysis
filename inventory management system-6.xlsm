
<file path=[Content_Types].xml><?xml version="1.0" encoding="utf-8"?>
<Types xmlns="http://schemas.openxmlformats.org/package/2006/content-types">
  <Default Extension="bin" ContentType="application/vnd.openxmlformats-officedocument.spreadsheetml.printerSettings"/>
  <Default Extension="jp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alhaj\Downloads\"/>
    </mc:Choice>
  </mc:AlternateContent>
  <xr:revisionPtr revIDLastSave="0" documentId="13_ncr:1_{EFB45FB8-579A-4791-AF55-22BB9C0397BA}" xr6:coauthVersionLast="47" xr6:coauthVersionMax="47" xr10:uidLastSave="{00000000-0000-0000-0000-000000000000}"/>
  <bookViews>
    <workbookView xWindow="-120" yWindow="-120" windowWidth="29040" windowHeight="15840" activeTab="1" xr2:uid="{9E8AA456-3AB3-4AC4-919D-27F5F09E0236}"/>
  </bookViews>
  <sheets>
    <sheet name="Usage" sheetId="7" r:id="rId1"/>
    <sheet name="Report" sheetId="4" r:id="rId2"/>
    <sheet name="Support" sheetId="6" state="hidden" r:id="rId3"/>
    <sheet name="Product Master" sheetId="2" r:id="rId4"/>
    <sheet name="Stock in-out" sheetId="3" r:id="rId5"/>
    <sheet name="Inventory" sheetId="5" r:id="rId6"/>
  </sheets>
  <definedNames>
    <definedName name="_xlnm._FilterDatabase" localSheetId="5" hidden="1">Inventory!$A$1:$I$62</definedName>
    <definedName name="_xlnm._FilterDatabase" localSheetId="3" hidden="1">'Product Master'!$A$1:$D$1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3" l="1"/>
  <c r="F3" i="3" s="1"/>
  <c r="E4" i="3"/>
  <c r="F4" i="3"/>
  <c r="E5" i="3"/>
  <c r="F5" i="3" s="1"/>
  <c r="E6" i="3"/>
  <c r="F6" i="3"/>
  <c r="E7" i="3"/>
  <c r="F7" i="3" s="1"/>
  <c r="E8" i="3"/>
  <c r="F8" i="3"/>
  <c r="E9" i="3"/>
  <c r="F9" i="3" s="1"/>
  <c r="E10" i="3"/>
  <c r="F10" i="3"/>
  <c r="E11" i="3"/>
  <c r="F11" i="3" s="1"/>
  <c r="E12" i="3"/>
  <c r="F12" i="3"/>
  <c r="E13" i="3"/>
  <c r="F13" i="3" s="1"/>
  <c r="E14" i="3"/>
  <c r="F14" i="3"/>
  <c r="E15" i="3"/>
  <c r="F15" i="3" s="1"/>
  <c r="E16" i="3"/>
  <c r="F16" i="3"/>
  <c r="E17" i="3"/>
  <c r="F17" i="3" s="1"/>
  <c r="E18" i="3"/>
  <c r="F18" i="3"/>
  <c r="E19" i="3"/>
  <c r="F19" i="3" s="1"/>
  <c r="E20" i="3"/>
  <c r="F20" i="3"/>
  <c r="E21" i="3"/>
  <c r="F21" i="3" s="1"/>
  <c r="E22" i="3"/>
  <c r="F22" i="3"/>
  <c r="E23" i="3"/>
  <c r="F23" i="3" s="1"/>
  <c r="E24" i="3"/>
  <c r="F24" i="3"/>
  <c r="E25" i="3"/>
  <c r="F25" i="3" s="1"/>
  <c r="E26" i="3"/>
  <c r="F26" i="3"/>
  <c r="E27" i="3"/>
  <c r="F27" i="3" s="1"/>
  <c r="E28" i="3"/>
  <c r="F28" i="3"/>
  <c r="E29" i="3"/>
  <c r="F29" i="3" s="1"/>
  <c r="E30" i="3"/>
  <c r="F30" i="3"/>
  <c r="E31" i="3"/>
  <c r="F31" i="3" s="1"/>
  <c r="E32" i="3"/>
  <c r="F32" i="3"/>
  <c r="E33" i="3"/>
  <c r="F33" i="3" s="1"/>
  <c r="E34" i="3"/>
  <c r="F34" i="3"/>
  <c r="E35" i="3"/>
  <c r="F35" i="3" s="1"/>
  <c r="E36" i="3"/>
  <c r="F36" i="3"/>
  <c r="E37" i="3"/>
  <c r="F37" i="3" s="1"/>
  <c r="E38" i="3"/>
  <c r="F38" i="3"/>
  <c r="E39" i="3"/>
  <c r="F39" i="3" s="1"/>
  <c r="E40" i="3"/>
  <c r="F40" i="3"/>
  <c r="E41" i="3"/>
  <c r="F41" i="3" s="1"/>
  <c r="E42" i="3"/>
  <c r="F42" i="3"/>
  <c r="E43" i="3"/>
  <c r="F43" i="3" s="1"/>
  <c r="E44" i="3"/>
  <c r="F44" i="3"/>
  <c r="E45" i="3"/>
  <c r="F45" i="3" s="1"/>
  <c r="E46" i="3"/>
  <c r="F46" i="3"/>
  <c r="E47" i="3"/>
  <c r="F47" i="3" s="1"/>
  <c r="E48" i="3"/>
  <c r="F48" i="3"/>
  <c r="E49" i="3"/>
  <c r="F49" i="3" s="1"/>
  <c r="E50" i="3"/>
  <c r="F50" i="3"/>
  <c r="E51" i="3"/>
  <c r="F51" i="3" s="1"/>
  <c r="E52" i="3"/>
  <c r="F52" i="3"/>
  <c r="E53" i="3"/>
  <c r="F53" i="3" s="1"/>
  <c r="E54" i="3"/>
  <c r="F54" i="3"/>
  <c r="E55" i="3"/>
  <c r="F55" i="3" s="1"/>
  <c r="E56" i="3"/>
  <c r="F56" i="3"/>
  <c r="E57" i="3"/>
  <c r="F57" i="3" s="1"/>
  <c r="E58" i="3"/>
  <c r="F58" i="3"/>
  <c r="E59" i="3"/>
  <c r="F59" i="3" s="1"/>
  <c r="E60" i="3"/>
  <c r="F60" i="3"/>
  <c r="E61" i="3"/>
  <c r="F61" i="3" s="1"/>
  <c r="E62" i="3"/>
  <c r="F62" i="3"/>
  <c r="E63" i="3"/>
  <c r="F63" i="3" s="1"/>
  <c r="E64" i="3"/>
  <c r="F64" i="3"/>
  <c r="E65" i="3"/>
  <c r="F65" i="3" s="1"/>
  <c r="E66" i="3"/>
  <c r="F66" i="3"/>
  <c r="E67" i="3"/>
  <c r="F67" i="3" s="1"/>
  <c r="E68" i="3"/>
  <c r="F68" i="3"/>
  <c r="E69" i="3"/>
  <c r="F69" i="3" s="1"/>
  <c r="E70" i="3"/>
  <c r="F70" i="3"/>
  <c r="E71" i="3"/>
  <c r="F71" i="3" s="1"/>
  <c r="E72" i="3"/>
  <c r="F72" i="3"/>
  <c r="E73" i="3"/>
  <c r="F73" i="3" s="1"/>
  <c r="E74" i="3"/>
  <c r="F74" i="3"/>
  <c r="E75" i="3"/>
  <c r="F75" i="3" s="1"/>
  <c r="E76" i="3"/>
  <c r="F76" i="3"/>
  <c r="E77" i="3"/>
  <c r="F77" i="3" s="1"/>
  <c r="E78" i="3"/>
  <c r="F78" i="3"/>
  <c r="D2" i="5" l="1"/>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D3" i="5"/>
  <c r="C62" i="5"/>
  <c r="C61" i="5"/>
  <c r="E61" i="5" s="1"/>
  <c r="F61" i="5" s="1"/>
  <c r="C60" i="5"/>
  <c r="C59" i="5"/>
  <c r="C58" i="5"/>
  <c r="C57" i="5"/>
  <c r="E57" i="5" s="1"/>
  <c r="F57" i="5" s="1"/>
  <c r="C56" i="5"/>
  <c r="C55" i="5"/>
  <c r="C54" i="5"/>
  <c r="C53" i="5"/>
  <c r="C52" i="5"/>
  <c r="C51" i="5"/>
  <c r="C50" i="5"/>
  <c r="C49" i="5"/>
  <c r="C48" i="5"/>
  <c r="C47" i="5"/>
  <c r="C46" i="5"/>
  <c r="E46" i="5" s="1"/>
  <c r="F46" i="5" s="1"/>
  <c r="C45" i="5"/>
  <c r="E45" i="5" s="1"/>
  <c r="F45" i="5" s="1"/>
  <c r="C44" i="5"/>
  <c r="C43" i="5"/>
  <c r="C42" i="5"/>
  <c r="C41" i="5"/>
  <c r="E41" i="5" s="1"/>
  <c r="F41" i="5" s="1"/>
  <c r="C40" i="5"/>
  <c r="C39" i="5"/>
  <c r="C38" i="5"/>
  <c r="C37" i="5"/>
  <c r="C36" i="5"/>
  <c r="C35" i="5"/>
  <c r="C34" i="5"/>
  <c r="E34" i="5" s="1"/>
  <c r="F34" i="5" s="1"/>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E6" i="5" s="1"/>
  <c r="C5" i="5"/>
  <c r="C4" i="5"/>
  <c r="C3" i="5"/>
  <c r="C2" i="5"/>
  <c r="I29" i="5"/>
  <c r="I30" i="5"/>
  <c r="I39" i="5"/>
  <c r="I11" i="5"/>
  <c r="I12" i="5"/>
  <c r="I56" i="5"/>
  <c r="I55" i="5"/>
  <c r="I4" i="5"/>
  <c r="I5" i="5"/>
  <c r="I32" i="5"/>
  <c r="I7" i="5"/>
  <c r="I54" i="5"/>
  <c r="I46" i="5"/>
  <c r="I57" i="5"/>
  <c r="I31" i="5"/>
  <c r="I51" i="5"/>
  <c r="I47" i="5"/>
  <c r="I41" i="5"/>
  <c r="I34" i="5"/>
  <c r="I61" i="5"/>
  <c r="I45" i="5"/>
  <c r="I28" i="5"/>
  <c r="I2" i="5"/>
  <c r="I13" i="5"/>
  <c r="I38" i="5"/>
  <c r="I53" i="5"/>
  <c r="I60" i="5"/>
  <c r="I14" i="5"/>
  <c r="I59" i="5"/>
  <c r="I42" i="5"/>
  <c r="I9" i="5"/>
  <c r="I6" i="5"/>
  <c r="I8" i="5"/>
  <c r="I35" i="5"/>
  <c r="I44" i="5"/>
  <c r="I37" i="5"/>
  <c r="I16" i="5"/>
  <c r="I3" i="5"/>
  <c r="I15" i="5"/>
  <c r="I27" i="5"/>
  <c r="I40" i="5"/>
  <c r="I10" i="5"/>
  <c r="I52" i="5"/>
  <c r="I58" i="5"/>
  <c r="I49" i="5"/>
  <c r="I48" i="5"/>
  <c r="I17" i="5"/>
  <c r="I33" i="5"/>
  <c r="I36" i="5"/>
  <c r="I43" i="5"/>
  <c r="I62" i="5"/>
  <c r="I26" i="5"/>
  <c r="G58" i="5"/>
  <c r="G52" i="5"/>
  <c r="G10" i="5"/>
  <c r="G40" i="5"/>
  <c r="G27" i="5"/>
  <c r="G15" i="5"/>
  <c r="G3" i="5"/>
  <c r="G16" i="5"/>
  <c r="G37" i="5"/>
  <c r="G44" i="5"/>
  <c r="G35" i="5"/>
  <c r="G8" i="5"/>
  <c r="G6" i="5"/>
  <c r="G9" i="5"/>
  <c r="G42" i="5"/>
  <c r="G59" i="5"/>
  <c r="G14" i="5"/>
  <c r="G60" i="5"/>
  <c r="G53" i="5"/>
  <c r="G29" i="5"/>
  <c r="G30" i="5"/>
  <c r="G39" i="5"/>
  <c r="G11" i="5"/>
  <c r="G12" i="5"/>
  <c r="G56" i="5"/>
  <c r="G55" i="5"/>
  <c r="G4" i="5"/>
  <c r="G5" i="5"/>
  <c r="G32" i="5"/>
  <c r="G7" i="5"/>
  <c r="G54" i="5"/>
  <c r="G46" i="5"/>
  <c r="G57" i="5"/>
  <c r="G31" i="5"/>
  <c r="G51" i="5"/>
  <c r="G47" i="5"/>
  <c r="G41" i="5"/>
  <c r="G34" i="5"/>
  <c r="G61" i="5"/>
  <c r="G45" i="5"/>
  <c r="C62" i="3"/>
  <c r="C61" i="3"/>
  <c r="C60" i="3"/>
  <c r="C59" i="3"/>
  <c r="C58" i="3"/>
  <c r="C57" i="3"/>
  <c r="C56" i="3"/>
  <c r="C55" i="3"/>
  <c r="C54" i="3"/>
  <c r="C53" i="3"/>
  <c r="C52" i="3"/>
  <c r="C51" i="3"/>
  <c r="C50" i="3"/>
  <c r="C49" i="3"/>
  <c r="C48" i="3"/>
  <c r="C47" i="3"/>
  <c r="C46" i="3"/>
  <c r="C45" i="3"/>
  <c r="C44" i="3"/>
  <c r="C43" i="3"/>
  <c r="C42" i="3"/>
  <c r="C41" i="3"/>
  <c r="C40" i="3"/>
  <c r="C39" i="3"/>
  <c r="C38" i="3"/>
  <c r="C37" i="3"/>
  <c r="C36" i="3"/>
  <c r="C35" i="3"/>
  <c r="C34" i="3"/>
  <c r="C33" i="3"/>
  <c r="C32" i="3"/>
  <c r="C31" i="3"/>
  <c r="C30" i="3"/>
  <c r="C29" i="3"/>
  <c r="C28" i="3"/>
  <c r="C27" i="3"/>
  <c r="C26" i="3"/>
  <c r="C25" i="3"/>
  <c r="C24" i="3"/>
  <c r="C23" i="3"/>
  <c r="C22" i="3"/>
  <c r="C21" i="3"/>
  <c r="C20" i="3"/>
  <c r="C19" i="3"/>
  <c r="C18" i="3"/>
  <c r="C17" i="3"/>
  <c r="C16" i="3"/>
  <c r="C15" i="3"/>
  <c r="C14" i="3"/>
  <c r="C13" i="3"/>
  <c r="C12" i="3"/>
  <c r="C11" i="3"/>
  <c r="C10" i="3"/>
  <c r="C9" i="3"/>
  <c r="C8" i="3"/>
  <c r="C7" i="3"/>
  <c r="C6" i="3"/>
  <c r="C5" i="3"/>
  <c r="C4" i="3"/>
  <c r="C3" i="3"/>
  <c r="C2" i="3"/>
  <c r="E2" i="3"/>
  <c r="F2" i="3" s="1"/>
  <c r="G38" i="5"/>
  <c r="G13" i="5"/>
  <c r="G2" i="5"/>
  <c r="G28" i="5"/>
  <c r="G26" i="5"/>
  <c r="G62" i="5"/>
  <c r="G43" i="5"/>
  <c r="G36" i="5"/>
  <c r="G33" i="5"/>
  <c r="G17" i="5"/>
  <c r="G48" i="5"/>
  <c r="G49" i="5"/>
  <c r="I50" i="5"/>
  <c r="G50" i="5"/>
  <c r="I18" i="5"/>
  <c r="G18" i="5"/>
  <c r="I19" i="5"/>
  <c r="G19" i="5"/>
  <c r="I20" i="5"/>
  <c r="G20" i="5"/>
  <c r="I21" i="5"/>
  <c r="G21" i="5"/>
  <c r="I22" i="5"/>
  <c r="G22" i="5"/>
  <c r="I23" i="5"/>
  <c r="G23" i="5"/>
  <c r="I24" i="5"/>
  <c r="G24" i="5"/>
  <c r="I25" i="5"/>
  <c r="G25" i="5"/>
  <c r="B25" i="5"/>
  <c r="B62" i="5"/>
  <c r="B43" i="5"/>
  <c r="B36" i="5"/>
  <c r="B33" i="5"/>
  <c r="B17" i="5"/>
  <c r="B48" i="5"/>
  <c r="B49" i="5"/>
  <c r="B50" i="5"/>
  <c r="B18" i="5"/>
  <c r="B19" i="5"/>
  <c r="B20" i="5"/>
  <c r="B21" i="5"/>
  <c r="B22" i="5"/>
  <c r="B23" i="5"/>
  <c r="B24" i="5"/>
  <c r="E31" i="5" l="1"/>
  <c r="F31" i="5" s="1"/>
  <c r="E47" i="5"/>
  <c r="F47" i="5" s="1"/>
  <c r="E51" i="5"/>
  <c r="F51" i="5" s="1"/>
  <c r="E54" i="5"/>
  <c r="F54" i="5" s="1"/>
  <c r="E7" i="5"/>
  <c r="F7" i="5" s="1"/>
  <c r="E32" i="5"/>
  <c r="F32" i="5" s="1"/>
  <c r="E5" i="5"/>
  <c r="F5" i="5" s="1"/>
  <c r="E4" i="5"/>
  <c r="F4" i="5" s="1"/>
  <c r="E55" i="5"/>
  <c r="F55" i="5" s="1"/>
  <c r="E56" i="5"/>
  <c r="F56" i="5" s="1"/>
  <c r="E12" i="5"/>
  <c r="F12" i="5" s="1"/>
  <c r="E11" i="5"/>
  <c r="F11" i="5" s="1"/>
  <c r="E39" i="5"/>
  <c r="F39" i="5" s="1"/>
  <c r="E30" i="5"/>
  <c r="F30" i="5" s="1"/>
  <c r="E29" i="5"/>
  <c r="F29" i="5" s="1"/>
  <c r="E53" i="5"/>
  <c r="F53" i="5" s="1"/>
  <c r="E60" i="5"/>
  <c r="F60" i="5" s="1"/>
  <c r="E14" i="5"/>
  <c r="F14" i="5" s="1"/>
  <c r="E59" i="5"/>
  <c r="F59" i="5" s="1"/>
  <c r="E42" i="5"/>
  <c r="F42" i="5" s="1"/>
  <c r="E9" i="5"/>
  <c r="F9" i="5" s="1"/>
  <c r="F6" i="5"/>
  <c r="E8" i="5"/>
  <c r="F8" i="5" s="1"/>
  <c r="E35" i="5"/>
  <c r="F35" i="5" s="1"/>
  <c r="E44" i="5"/>
  <c r="F44" i="5" s="1"/>
  <c r="E37" i="5"/>
  <c r="F37" i="5" s="1"/>
  <c r="E16" i="5"/>
  <c r="F16" i="5" s="1"/>
  <c r="E3" i="5"/>
  <c r="F3" i="5" s="1"/>
  <c r="E15" i="5"/>
  <c r="F15" i="5" s="1"/>
  <c r="E27" i="5"/>
  <c r="F27" i="5" s="1"/>
  <c r="E40" i="5"/>
  <c r="F40" i="5" s="1"/>
  <c r="E10" i="5"/>
  <c r="F10" i="5" s="1"/>
  <c r="E52" i="5"/>
  <c r="F52" i="5" s="1"/>
  <c r="E58" i="5"/>
  <c r="F58" i="5" s="1"/>
  <c r="H34" i="5"/>
  <c r="H61" i="5"/>
  <c r="H31" i="5"/>
  <c r="H41" i="5"/>
  <c r="H57" i="5"/>
  <c r="H45" i="5"/>
  <c r="H46" i="5"/>
  <c r="E25" i="5"/>
  <c r="F25" i="5" s="1"/>
  <c r="E22" i="5"/>
  <c r="E17" i="5"/>
  <c r="H17" i="5" s="1"/>
  <c r="E13" i="5"/>
  <c r="F13" i="5" s="1"/>
  <c r="E18" i="5"/>
  <c r="F18" i="5" s="1"/>
  <c r="E62" i="5"/>
  <c r="F62" i="5" s="1"/>
  <c r="E24" i="5"/>
  <c r="F24" i="5" s="1"/>
  <c r="E23" i="5"/>
  <c r="H23" i="5" s="1"/>
  <c r="E21" i="5"/>
  <c r="E20" i="5"/>
  <c r="E19" i="5"/>
  <c r="F19" i="5" s="1"/>
  <c r="E50" i="5"/>
  <c r="H50" i="5" s="1"/>
  <c r="E49" i="5"/>
  <c r="E48" i="5"/>
  <c r="E33" i="5"/>
  <c r="H33" i="5" s="1"/>
  <c r="E36" i="5"/>
  <c r="H36" i="5" s="1"/>
  <c r="E43" i="5"/>
  <c r="E26" i="5"/>
  <c r="F26" i="5" s="1"/>
  <c r="E28" i="5"/>
  <c r="E2" i="5"/>
  <c r="E38" i="5"/>
  <c r="H22" i="5"/>
  <c r="B4" i="6" l="1"/>
  <c r="H47" i="5"/>
  <c r="H60" i="5"/>
  <c r="H39" i="5"/>
  <c r="H55" i="5"/>
  <c r="H7" i="5"/>
  <c r="H15" i="5"/>
  <c r="H11" i="5"/>
  <c r="H54" i="5"/>
  <c r="H4" i="5"/>
  <c r="H51" i="5"/>
  <c r="H56" i="5"/>
  <c r="H3" i="5"/>
  <c r="H53" i="5"/>
  <c r="H35" i="5"/>
  <c r="H42" i="5"/>
  <c r="H32" i="5"/>
  <c r="H44" i="5"/>
  <c r="H37" i="5"/>
  <c r="H6" i="5"/>
  <c r="H58" i="5"/>
  <c r="H14" i="5"/>
  <c r="H27" i="5"/>
  <c r="H30" i="5"/>
  <c r="H9" i="5"/>
  <c r="H10" i="5"/>
  <c r="H52" i="5"/>
  <c r="H59" i="5"/>
  <c r="H40" i="5"/>
  <c r="H29" i="5"/>
  <c r="H16" i="5"/>
  <c r="H12" i="5"/>
  <c r="H8" i="5"/>
  <c r="H5" i="5"/>
  <c r="H25" i="5"/>
  <c r="H62" i="5"/>
  <c r="F22" i="5"/>
  <c r="F17" i="5"/>
  <c r="H18" i="5"/>
  <c r="H48" i="5"/>
  <c r="H20" i="5"/>
  <c r="H19" i="5"/>
  <c r="H13" i="5"/>
  <c r="H26" i="5"/>
  <c r="F28" i="5"/>
  <c r="F2" i="5"/>
  <c r="F20" i="5"/>
  <c r="F48" i="5"/>
  <c r="H28" i="5"/>
  <c r="F23" i="5"/>
  <c r="F50" i="5"/>
  <c r="H2" i="5"/>
  <c r="F36" i="5"/>
  <c r="H21" i="5"/>
  <c r="F49" i="5"/>
  <c r="H43" i="5"/>
  <c r="H49" i="5"/>
  <c r="F38" i="5"/>
  <c r="F43" i="5"/>
  <c r="F21" i="5"/>
  <c r="F33" i="5"/>
  <c r="H38" i="5"/>
  <c r="H24" i="5"/>
  <c r="B1" i="6"/>
  <c r="B3" i="6" l="1"/>
  <c r="B2" i="6"/>
</calcChain>
</file>

<file path=xl/sharedStrings.xml><?xml version="1.0" encoding="utf-8"?>
<sst xmlns="http://schemas.openxmlformats.org/spreadsheetml/2006/main" count="325" uniqueCount="89">
  <si>
    <t>Double Wall Ctn 12x12x12</t>
  </si>
  <si>
    <t>Double Wall Ctn 12x09x12</t>
  </si>
  <si>
    <t>Double Wall Ctn 12x09x09</t>
  </si>
  <si>
    <t>Double Wall Ctn 12x09x06</t>
  </si>
  <si>
    <t>Double Wall Ctn 12x09x03</t>
  </si>
  <si>
    <t>Double Wall Ctn 08x08</t>
  </si>
  <si>
    <t>Double Wall Ctn</t>
  </si>
  <si>
    <t>Thermal mailing bag 450mm X 350mm</t>
  </si>
  <si>
    <t>Thermal mailing bag 350mm X350mm</t>
  </si>
  <si>
    <t>Thermal mailing bag 250mm X 350mm</t>
  </si>
  <si>
    <t>Large Plastic Mail Bags</t>
  </si>
  <si>
    <t>Medium Plastic Mail Bags</t>
  </si>
  <si>
    <t>Small Plastic Mail Bags</t>
  </si>
  <si>
    <t>Zebra Z-230 Ribbon</t>
  </si>
  <si>
    <t>GX420t Ribbon</t>
  </si>
  <si>
    <t>Ice Sheets 216g</t>
  </si>
  <si>
    <t>Acrylic Tape 75x66m Kite</t>
  </si>
  <si>
    <t>Where</t>
  </si>
  <si>
    <t>Product</t>
  </si>
  <si>
    <t>in/out</t>
  </si>
  <si>
    <t>date</t>
  </si>
  <si>
    <t>quantity</t>
  </si>
  <si>
    <t>Opening stock</t>
  </si>
  <si>
    <t>Cost per unit</t>
  </si>
  <si>
    <t>Total cost value</t>
  </si>
  <si>
    <t>Product Name</t>
  </si>
  <si>
    <t>In</t>
  </si>
  <si>
    <t>Out</t>
  </si>
  <si>
    <t>Closing Stock</t>
  </si>
  <si>
    <t>Stock Cost</t>
  </si>
  <si>
    <t>Re-order Level</t>
  </si>
  <si>
    <t>Re-order requried</t>
  </si>
  <si>
    <t>Drawer Number</t>
  </si>
  <si>
    <t>Current Stock</t>
  </si>
  <si>
    <t>Re-Order</t>
  </si>
  <si>
    <t>Out of Stock</t>
  </si>
  <si>
    <t>cost per unit</t>
  </si>
  <si>
    <t>Products Name</t>
  </si>
  <si>
    <t>Re-Order Level</t>
  </si>
  <si>
    <t>Inventory Management System</t>
  </si>
  <si>
    <t>Double Wall Ctn 14x14x14</t>
  </si>
  <si>
    <t>Double wall box &amp; Insulated Box Liners</t>
  </si>
  <si>
    <t>Caution Tapes</t>
  </si>
  <si>
    <t>Paper A4</t>
  </si>
  <si>
    <t>Speedman Box</t>
  </si>
  <si>
    <t>Yaji Pots</t>
  </si>
  <si>
    <t>Large Yaji Rolls</t>
  </si>
  <si>
    <t>Premium Tape Dispenser</t>
  </si>
  <si>
    <t>Thermal Chip and Pin Rolls</t>
  </si>
  <si>
    <t>Thermal Till Roll</t>
  </si>
  <si>
    <t>Label Roll</t>
  </si>
  <si>
    <t>Vacuum Pouch/ Food Bag</t>
  </si>
  <si>
    <t>Suya Label Rolls</t>
  </si>
  <si>
    <t>Tozo Basket Roll</t>
  </si>
  <si>
    <t>Beef Basket Roll</t>
  </si>
  <si>
    <t>Lamb Basket Roll</t>
  </si>
  <si>
    <t>All Suya Rice Meal Label Rolls</t>
  </si>
  <si>
    <t>All Shawarma Label Rolls</t>
  </si>
  <si>
    <t>Vaccum Seal Clear Roll Covers</t>
  </si>
  <si>
    <t>Vaccum Seal Containers</t>
  </si>
  <si>
    <t>Butchers Peach Paper Roll</t>
  </si>
  <si>
    <t>Butchers Peach Paper</t>
  </si>
  <si>
    <t>Pie Containers</t>
  </si>
  <si>
    <t>Kilishi 60g Pouch</t>
  </si>
  <si>
    <t>Kilishi 25g Pouch</t>
  </si>
  <si>
    <t>Tozo 60sec Plastic Pouch</t>
  </si>
  <si>
    <t>Yaji 48g Pouch</t>
  </si>
  <si>
    <t>Condiments Pouches</t>
  </si>
  <si>
    <t>White Coats</t>
  </si>
  <si>
    <t>Red Coats</t>
  </si>
  <si>
    <t>Black Shirts</t>
  </si>
  <si>
    <t>Aprons</t>
  </si>
  <si>
    <t>Black Cadigans</t>
  </si>
  <si>
    <t>Lemon Gel</t>
  </si>
  <si>
    <t>Soft Sponge</t>
  </si>
  <si>
    <t>Metal Sponge/ Brush</t>
  </si>
  <si>
    <t>Disolvable detergent bar</t>
  </si>
  <si>
    <t>All Puropse Cleaner</t>
  </si>
  <si>
    <t>Degeaser</t>
  </si>
  <si>
    <t>Hair Net</t>
  </si>
  <si>
    <t>PPE Protective set</t>
  </si>
  <si>
    <t>Blue roll</t>
  </si>
  <si>
    <t>Toilet paper</t>
  </si>
  <si>
    <t>Vinegar</t>
  </si>
  <si>
    <t>Yes</t>
  </si>
  <si>
    <r>
      <t>1) Click on "</t>
    </r>
    <r>
      <rPr>
        <b/>
        <sz val="11"/>
        <color rgb="FFFF0000"/>
        <rFont val="Calibri"/>
        <family val="2"/>
        <scheme val="minor"/>
      </rPr>
      <t>Current Stock</t>
    </r>
    <r>
      <rPr>
        <sz val="11"/>
        <color theme="1"/>
        <rFont val="Calibri"/>
        <family val="2"/>
        <scheme val="minor"/>
      </rPr>
      <t>" box on the upper left side to bring list of the inventory we have in the system.
2) Click on "</t>
    </r>
    <r>
      <rPr>
        <b/>
        <sz val="11"/>
        <color rgb="FFFF0000"/>
        <rFont val="Calibri"/>
        <family val="2"/>
        <scheme val="minor"/>
      </rPr>
      <t>Re-Order</t>
    </r>
    <r>
      <rPr>
        <sz val="11"/>
        <color theme="1"/>
        <rFont val="Calibri"/>
        <family val="2"/>
        <scheme val="minor"/>
      </rPr>
      <t>" box to get the list of inventory whose inventory is below recommended inventory level.
3) Click on "</t>
    </r>
    <r>
      <rPr>
        <b/>
        <sz val="11"/>
        <color rgb="FFFF0000"/>
        <rFont val="Calibri"/>
        <family val="2"/>
        <scheme val="minor"/>
      </rPr>
      <t>Out of stock</t>
    </r>
    <r>
      <rPr>
        <sz val="11"/>
        <color theme="1"/>
        <rFont val="Calibri"/>
        <family val="2"/>
        <scheme val="minor"/>
      </rPr>
      <t>" box to get the list of inventory that have stock level 0 or below. 
4) Click on "</t>
    </r>
    <r>
      <rPr>
        <b/>
        <sz val="11"/>
        <color rgb="FFFF0000"/>
        <rFont val="Calibri"/>
        <family val="2"/>
        <scheme val="minor"/>
      </rPr>
      <t>Search</t>
    </r>
    <r>
      <rPr>
        <sz val="11"/>
        <color theme="1"/>
        <rFont val="Calibri"/>
        <family val="2"/>
        <scheme val="minor"/>
      </rPr>
      <t>" box to get information individual inventory.  Search the inventory you want the information of (Note: the inputs are case sensetive). When your desired inventory appears in the listbox, click on the inventory to get quick information like currect stock, re-order status and location of the inventory.
5) Click on "</t>
    </r>
    <r>
      <rPr>
        <b/>
        <sz val="11"/>
        <color rgb="FFFF0000"/>
        <rFont val="Calibri"/>
        <family val="2"/>
        <scheme val="minor"/>
      </rPr>
      <t>+In/Out</t>
    </r>
    <r>
      <rPr>
        <sz val="11"/>
        <color theme="1"/>
        <rFont val="Calibri"/>
        <family val="2"/>
        <scheme val="minor"/>
      </rPr>
      <t>" to update or remove inventory level of the inventory list present in the system.</t>
    </r>
  </si>
  <si>
    <t>Fuction of this Inventory Management System</t>
  </si>
  <si>
    <t>Adding and removing inventory</t>
  </si>
  <si>
    <r>
      <t xml:space="preserve">To Add or Remove the inventory, please click on 
</t>
    </r>
    <r>
      <rPr>
        <b/>
        <sz val="11"/>
        <color rgb="FFFF0000"/>
        <rFont val="Calibri"/>
        <family val="2"/>
        <scheme val="minor"/>
      </rPr>
      <t>"+ In/Out</t>
    </r>
    <r>
      <rPr>
        <sz val="11"/>
        <color theme="1"/>
        <rFont val="Calibri"/>
        <family val="2"/>
        <scheme val="minor"/>
      </rPr>
      <t xml:space="preserve">" box. Once click on the area, a box will appear. The example image have been placed on the right. 
</t>
    </r>
    <r>
      <rPr>
        <b/>
        <sz val="11"/>
        <color rgb="FFC00000"/>
        <rFont val="Calibri"/>
        <family val="2"/>
        <scheme val="minor"/>
      </rPr>
      <t>Adding Inventory</t>
    </r>
    <r>
      <rPr>
        <sz val="11"/>
        <color theme="1"/>
        <rFont val="Calibri"/>
        <family val="2"/>
        <scheme val="minor"/>
      </rPr>
      <t xml:space="preserve">: Search the inventory you want to add(Note: search bar is case sensetive). Once the inventory appears in the list box, click on the inventory to select the item. After selecting the inventory, click on the (&gt; &gt;) button which is on the right side of search box. This will migrate the inventory name to the update box. click on "In" option to add the item. Enter the number of qantity you want to add to that particular inventory in "Qty" box. The date are will bring today's date by default. Lastly, check the product name, quantity and option box before clicking on Submit
</t>
    </r>
    <r>
      <rPr>
        <b/>
        <sz val="11"/>
        <color rgb="FFC00000"/>
        <rFont val="Calibri"/>
        <family val="2"/>
        <scheme val="minor"/>
      </rPr>
      <t>Taking Inventory</t>
    </r>
    <r>
      <rPr>
        <sz val="11"/>
        <color theme="1"/>
        <rFont val="Calibri"/>
        <family val="2"/>
        <scheme val="minor"/>
      </rPr>
      <t>: Search the inventory you want to add(Note: search bar is case sensetive). Once the inventory appears in the list box, click on the inventory to select the item. After selecting the inventory, click on the (&gt; &gt;) button which is on the right side of search box. This will migrate the inventory name to the update box. click on "Out" option to add the item. Enter the number of qantity you want to add to that particular inventory in "Qty" box. The date are will bring today's date by default. Lastly, check the product name, quantity and option box before clicking on Submit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</si>
</sst>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00"/>
  </numFmts>
  <fonts count="13">
    <font>
      <sz val="11"/>
      <color theme="1"/>
      <name val="Calibri"/>
      <family val="2"/>
      <scheme val="minor"/>
    </font>
    <font>
      <sz val="12"/>
      <color theme="1"/>
      <name val="Times New Roman"/>
      <family val="1"/>
    </font>
    <font>
      <sz val="11"/>
      <color theme="1"/>
      <name val="Times New Roman"/>
      <family val="1"/>
    </font>
    <font>
      <sz val="10"/>
      <color theme="1"/>
      <name val="Times New Roman"/>
      <family val="1"/>
    </font>
    <font>
      <b/>
      <sz val="11"/>
      <color theme="0"/>
      <name val="Calibri"/>
      <family val="2"/>
      <scheme val="minor"/>
    </font>
    <font>
      <b/>
      <sz val="22"/>
      <color theme="0"/>
      <name val="Calibri"/>
      <family val="2"/>
      <scheme val="minor"/>
    </font>
    <font>
      <sz val="10"/>
      <color theme="0"/>
      <name val="Times New Roman"/>
      <family val="1"/>
    </font>
    <font>
      <sz val="10"/>
      <color theme="1"/>
      <name val="Arial"/>
      <family val="2"/>
    </font>
    <font>
      <sz val="11"/>
      <color theme="1"/>
      <name val="Calibri"/>
      <family val="2"/>
    </font>
    <font>
      <sz val="11"/>
      <color theme="1"/>
      <name val="Docs-Calibri"/>
    </font>
    <font>
      <b/>
      <sz val="11"/>
      <color theme="1"/>
      <name val="Calibri"/>
      <family val="2"/>
      <scheme val="minor"/>
    </font>
    <font>
      <b/>
      <sz val="11"/>
      <color rgb="FFFF0000"/>
      <name val="Calibri"/>
      <family val="2"/>
      <scheme val="minor"/>
    </font>
    <font>
      <b/>
      <sz val="11"/>
      <color rgb="FFC00000"/>
      <name val="Calibri"/>
      <family val="2"/>
      <scheme val="minor"/>
    </font>
  </fonts>
  <fills count="4">
    <fill>
      <patternFill patternType="none"/>
    </fill>
    <fill>
      <patternFill patternType="gray125"/>
    </fill>
    <fill>
      <patternFill patternType="solid">
        <fgColor theme="4"/>
        <bgColor indexed="64"/>
      </patternFill>
    </fill>
    <fill>
      <patternFill patternType="solid">
        <fgColor theme="0" tint="-0.249977111117893"/>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8">
    <xf numFmtId="0" fontId="0" fillId="0" borderId="0" xfId="0"/>
    <xf numFmtId="164" fontId="1" fillId="0" borderId="0" xfId="0" applyNumberFormat="1" applyFont="1" applyAlignment="1">
      <alignment horizontal="left"/>
    </xf>
    <xf numFmtId="0" fontId="2" fillId="0" borderId="0" xfId="0" applyFont="1" applyAlignment="1">
      <alignment horizontal="left"/>
    </xf>
    <xf numFmtId="0" fontId="3" fillId="0" borderId="0" xfId="0" applyFont="1" applyAlignment="1">
      <alignment horizontal="left"/>
    </xf>
    <xf numFmtId="164" fontId="2" fillId="0" borderId="0" xfId="0" applyNumberFormat="1" applyFont="1" applyAlignment="1">
      <alignment horizontal="left"/>
    </xf>
    <xf numFmtId="0" fontId="6" fillId="2" borderId="0" xfId="0" applyFont="1" applyFill="1" applyAlignment="1">
      <alignment vertical="center"/>
    </xf>
    <xf numFmtId="0" fontId="4" fillId="2" borderId="1" xfId="0" applyFont="1" applyFill="1" applyBorder="1"/>
    <xf numFmtId="0" fontId="4" fillId="2" borderId="1" xfId="0" applyFont="1" applyFill="1" applyBorder="1" applyAlignment="1">
      <alignment horizontal="left"/>
    </xf>
    <xf numFmtId="0" fontId="1" fillId="0" borderId="1" xfId="0" applyFont="1" applyBorder="1" applyAlignment="1">
      <alignment horizontal="left" wrapText="1"/>
    </xf>
    <xf numFmtId="0" fontId="0" fillId="0" borderId="0" xfId="0" applyAlignment="1">
      <alignment horizontal="left"/>
    </xf>
    <xf numFmtId="0" fontId="1" fillId="0" borderId="0" xfId="0" applyFont="1" applyAlignment="1">
      <alignment horizontal="left" vertical="center" wrapText="1"/>
    </xf>
    <xf numFmtId="0" fontId="7" fillId="0" borderId="0" xfId="0" applyFont="1" applyAlignment="1">
      <alignment horizontal="left" vertical="center" wrapText="1"/>
    </xf>
    <xf numFmtId="0" fontId="8" fillId="0" borderId="0" xfId="0" applyFont="1" applyAlignment="1">
      <alignment horizontal="left" vertical="center" wrapText="1"/>
    </xf>
    <xf numFmtId="0" fontId="9" fillId="0" borderId="0" xfId="0" applyFont="1" applyAlignment="1">
      <alignment horizontal="left" vertical="center" wrapText="1"/>
    </xf>
    <xf numFmtId="0" fontId="1" fillId="0" borderId="1" xfId="0" applyFont="1" applyBorder="1" applyAlignment="1">
      <alignment horizontal="right" vertical="center"/>
    </xf>
    <xf numFmtId="164" fontId="1" fillId="0" borderId="1" xfId="0" applyNumberFormat="1" applyFont="1" applyBorder="1" applyAlignment="1">
      <alignment horizontal="right" vertical="center"/>
    </xf>
    <xf numFmtId="0" fontId="0" fillId="0" borderId="0" xfId="0" applyAlignment="1">
      <alignment horizontal="left" vertical="top" wrapText="1"/>
    </xf>
    <xf numFmtId="0" fontId="0" fillId="0" borderId="0" xfId="0" applyAlignment="1">
      <alignment horizontal="left" vertical="top"/>
    </xf>
    <xf numFmtId="0" fontId="10" fillId="0" borderId="0" xfId="0" applyFont="1"/>
    <xf numFmtId="14" fontId="0" fillId="0" borderId="0" xfId="0" applyNumberFormat="1" applyAlignment="1">
      <alignment horizontal="right" vertical="center"/>
    </xf>
    <xf numFmtId="0" fontId="0" fillId="0" borderId="0" xfId="0" applyAlignment="1">
      <alignment horizontal="right" vertical="center"/>
    </xf>
    <xf numFmtId="164" fontId="0" fillId="0" borderId="0" xfId="0" applyNumberFormat="1" applyAlignment="1">
      <alignment horizontal="right" vertical="center"/>
    </xf>
    <xf numFmtId="0" fontId="0" fillId="0" borderId="0" xfId="0" applyAlignment="1">
      <alignment wrapText="1"/>
    </xf>
    <xf numFmtId="164" fontId="0" fillId="0" borderId="0" xfId="0" applyNumberFormat="1"/>
    <xf numFmtId="0" fontId="0" fillId="3" borderId="0" xfId="0" applyFill="1" applyAlignment="1">
      <alignment horizontal="left" vertical="top" wrapText="1"/>
    </xf>
    <xf numFmtId="0" fontId="4" fillId="2" borderId="0" xfId="0" applyFont="1" applyFill="1" applyAlignment="1">
      <alignment horizontal="left" vertical="top"/>
    </xf>
    <xf numFmtId="0" fontId="4" fillId="2" borderId="0" xfId="0" applyFont="1" applyFill="1" applyAlignment="1">
      <alignment horizontal="center" vertical="top"/>
    </xf>
    <xf numFmtId="0" fontId="5" fillId="2" borderId="0" xfId="0" applyFont="1" applyFill="1" applyAlignment="1">
      <alignment horizontal="center"/>
    </xf>
  </cellXfs>
  <cellStyles count="1">
    <cellStyle name="Normal" xfId="0" builtinId="0"/>
  </cellStyles>
  <dxfs count="1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12</xdr:col>
      <xdr:colOff>0</xdr:colOff>
      <xdr:row>2</xdr:row>
      <xdr:rowOff>28253</xdr:rowOff>
    </xdr:from>
    <xdr:to>
      <xdr:col>19</xdr:col>
      <xdr:colOff>333375</xdr:colOff>
      <xdr:row>17</xdr:row>
      <xdr:rowOff>123825</xdr:rowOff>
    </xdr:to>
    <xdr:pic>
      <xdr:nvPicPr>
        <xdr:cNvPr id="3" name="Picture 2">
          <a:extLst>
            <a:ext uri="{FF2B5EF4-FFF2-40B4-BE49-F238E27FC236}">
              <a16:creationId xmlns:a16="http://schemas.microsoft.com/office/drawing/2014/main" id="{F089352A-E530-99EC-770F-B0B92424D74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5200" y="409253"/>
          <a:ext cx="4600575" cy="295307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2531221</xdr:colOff>
      <xdr:row>2</xdr:row>
      <xdr:rowOff>151840</xdr:rowOff>
    </xdr:from>
    <xdr:to>
      <xdr:col>2</xdr:col>
      <xdr:colOff>46877</xdr:colOff>
      <xdr:row>5</xdr:row>
      <xdr:rowOff>228040</xdr:rowOff>
    </xdr:to>
    <xdr:grpSp>
      <xdr:nvGrpSpPr>
        <xdr:cNvPr id="19" name="Group 18">
          <a:extLst>
            <a:ext uri="{FF2B5EF4-FFF2-40B4-BE49-F238E27FC236}">
              <a16:creationId xmlns:a16="http://schemas.microsoft.com/office/drawing/2014/main" id="{60075449-3273-57F2-5F69-9656D56AF569}"/>
            </a:ext>
          </a:extLst>
        </xdr:cNvPr>
        <xdr:cNvGrpSpPr/>
      </xdr:nvGrpSpPr>
      <xdr:grpSpPr>
        <a:xfrm>
          <a:off x="2531221" y="532840"/>
          <a:ext cx="1367069" cy="647700"/>
          <a:chOff x="3790949" y="704850"/>
          <a:chExt cx="1362076" cy="647700"/>
        </a:xfrm>
      </xdr:grpSpPr>
      <xdr:sp macro="" textlink="">
        <xdr:nvSpPr>
          <xdr:cNvPr id="7" name="Rectangle: Rounded Corners 6">
            <a:extLst>
              <a:ext uri="{FF2B5EF4-FFF2-40B4-BE49-F238E27FC236}">
                <a16:creationId xmlns:a16="http://schemas.microsoft.com/office/drawing/2014/main" id="{765A54D9-D377-4104-BE04-814569C4D116}"/>
              </a:ext>
            </a:extLst>
          </xdr:cNvPr>
          <xdr:cNvSpPr/>
        </xdr:nvSpPr>
        <xdr:spPr>
          <a:xfrm>
            <a:off x="3790949" y="704850"/>
            <a:ext cx="1362076" cy="647700"/>
          </a:xfrm>
          <a:prstGeom prst="roundRect">
            <a:avLst/>
          </a:prstGeom>
          <a:solidFill>
            <a:schemeClr val="bg2"/>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 textlink="Support!A2">
        <xdr:nvSpPr>
          <xdr:cNvPr id="10" name="TextBox 9">
            <a:extLst>
              <a:ext uri="{FF2B5EF4-FFF2-40B4-BE49-F238E27FC236}">
                <a16:creationId xmlns:a16="http://schemas.microsoft.com/office/drawing/2014/main" id="{A71B0BEF-982E-453E-AD67-1CD9ACB161AF}"/>
              </a:ext>
            </a:extLst>
          </xdr:cNvPr>
          <xdr:cNvSpPr txBox="1"/>
        </xdr:nvSpPr>
        <xdr:spPr>
          <a:xfrm>
            <a:off x="3819525" y="742950"/>
            <a:ext cx="12287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62EFFBC-EB1E-41C6-BB0B-19CB5E9621A4}" type="TxLink">
              <a:rPr lang="en-US" sz="12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Stock Cost</a:t>
            </a:fld>
            <a:endParaRPr lang="en-GB" sz="1200" b="1" cap="none" spc="0">
              <a:ln w="0"/>
              <a:solidFill>
                <a:schemeClr val="tx1"/>
              </a:solidFill>
              <a:effectLst>
                <a:outerShdw blurRad="38100" dist="19050" dir="2700000" algn="tl" rotWithShape="0">
                  <a:schemeClr val="dk1">
                    <a:alpha val="40000"/>
                  </a:schemeClr>
                </a:outerShdw>
              </a:effectLst>
            </a:endParaRPr>
          </a:p>
        </xdr:txBody>
      </xdr:sp>
      <xdr:sp macro="" textlink="Support!B2">
        <xdr:nvSpPr>
          <xdr:cNvPr id="14" name="TextBox 13">
            <a:extLst>
              <a:ext uri="{FF2B5EF4-FFF2-40B4-BE49-F238E27FC236}">
                <a16:creationId xmlns:a16="http://schemas.microsoft.com/office/drawing/2014/main" id="{3B487475-18CF-4143-A88D-0FE9E603E7EF}"/>
              </a:ext>
            </a:extLst>
          </xdr:cNvPr>
          <xdr:cNvSpPr txBox="1"/>
        </xdr:nvSpPr>
        <xdr:spPr>
          <a:xfrm>
            <a:off x="3810000" y="923925"/>
            <a:ext cx="12287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DC927C5-6CA8-4D67-94C8-126DC8E8B156}" type="TxLink">
              <a:rPr lang="en-US" sz="1100" b="1" i="0" u="none" strike="noStrike" cap="none" spc="0">
                <a:ln w="0"/>
                <a:solidFill>
                  <a:schemeClr val="accent2">
                    <a:lumMod val="75000"/>
                  </a:schemeClr>
                </a:solidFill>
                <a:effectLst>
                  <a:outerShdw blurRad="38100" dist="25400" dir="5400000" algn="ctr" rotWithShape="0">
                    <a:srgbClr val="6E747A">
                      <a:alpha val="43000"/>
                    </a:srgbClr>
                  </a:outerShdw>
                </a:effectLst>
                <a:latin typeface="Calibri"/>
                <a:cs typeface="Calibri"/>
              </a:rPr>
              <a:pPr algn="ctr"/>
              <a:t>£86,934.39</a:t>
            </a:fld>
            <a:endParaRPr lang="en-GB" sz="1400" b="1" cap="none" spc="0">
              <a:ln w="0"/>
              <a:solidFill>
                <a:schemeClr val="accent2">
                  <a:lumMod val="75000"/>
                </a:schemeClr>
              </a:solidFill>
              <a:effectLst>
                <a:outerShdw blurRad="38100" dist="25400" dir="5400000" algn="ctr" rotWithShape="0">
                  <a:srgbClr val="6E747A">
                    <a:alpha val="43000"/>
                  </a:srgbClr>
                </a:outerShdw>
              </a:effectLst>
            </a:endParaRPr>
          </a:p>
        </xdr:txBody>
      </xdr:sp>
    </xdr:grpSp>
    <xdr:clientData/>
  </xdr:twoCellAnchor>
  <xdr:twoCellAnchor editAs="absolute">
    <xdr:from>
      <xdr:col>2</xdr:col>
      <xdr:colOff>987423</xdr:colOff>
      <xdr:row>2</xdr:row>
      <xdr:rowOff>151840</xdr:rowOff>
    </xdr:from>
    <xdr:to>
      <xdr:col>3</xdr:col>
      <xdr:colOff>1158875</xdr:colOff>
      <xdr:row>5</xdr:row>
      <xdr:rowOff>228040</xdr:rowOff>
    </xdr:to>
    <xdr:grpSp>
      <xdr:nvGrpSpPr>
        <xdr:cNvPr id="20" name="Group 19">
          <a:extLst>
            <a:ext uri="{FF2B5EF4-FFF2-40B4-BE49-F238E27FC236}">
              <a16:creationId xmlns:a16="http://schemas.microsoft.com/office/drawing/2014/main" id="{9764E9BC-BD1D-02F1-00C4-3420DB7447B3}"/>
            </a:ext>
          </a:extLst>
        </xdr:cNvPr>
        <xdr:cNvGrpSpPr/>
      </xdr:nvGrpSpPr>
      <xdr:grpSpPr>
        <a:xfrm>
          <a:off x="4838836" y="532840"/>
          <a:ext cx="1364148" cy="647700"/>
          <a:chOff x="5495924" y="695325"/>
          <a:chExt cx="1362076" cy="647700"/>
        </a:xfrm>
      </xdr:grpSpPr>
      <xdr:sp macro="[0]!ReOrder" textlink="">
        <xdr:nvSpPr>
          <xdr:cNvPr id="8" name="Rectangle: Rounded Corners 7">
            <a:extLst>
              <a:ext uri="{FF2B5EF4-FFF2-40B4-BE49-F238E27FC236}">
                <a16:creationId xmlns:a16="http://schemas.microsoft.com/office/drawing/2014/main" id="{F3201C57-E05E-4483-89E2-46664ABC39D0}"/>
              </a:ext>
            </a:extLst>
          </xdr:cNvPr>
          <xdr:cNvSpPr/>
        </xdr:nvSpPr>
        <xdr:spPr>
          <a:xfrm>
            <a:off x="5495924" y="695325"/>
            <a:ext cx="1362076" cy="647700"/>
          </a:xfrm>
          <a:prstGeom prst="roundRect">
            <a:avLst/>
          </a:prstGeom>
          <a:solidFill>
            <a:schemeClr val="bg2"/>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ReOrder" textlink="Support!A3">
        <xdr:nvSpPr>
          <xdr:cNvPr id="11" name="TextBox 10">
            <a:extLst>
              <a:ext uri="{FF2B5EF4-FFF2-40B4-BE49-F238E27FC236}">
                <a16:creationId xmlns:a16="http://schemas.microsoft.com/office/drawing/2014/main" id="{C2E35BFE-996C-48BF-ADBD-2F08BD4D8218}"/>
              </a:ext>
            </a:extLst>
          </xdr:cNvPr>
          <xdr:cNvSpPr txBox="1"/>
        </xdr:nvSpPr>
        <xdr:spPr>
          <a:xfrm>
            <a:off x="5543550" y="742950"/>
            <a:ext cx="12287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CE8D6B8-735A-4F9A-88B2-E875C9F22F67}" type="TxLink">
              <a:rPr lang="en-US" sz="12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Re-Order</a:t>
            </a:fld>
            <a:endParaRPr lang="en-GB" sz="1200" b="1" cap="none" spc="0">
              <a:ln w="0"/>
              <a:solidFill>
                <a:schemeClr val="tx1"/>
              </a:solidFill>
              <a:effectLst>
                <a:outerShdw blurRad="38100" dist="19050" dir="2700000" algn="tl" rotWithShape="0">
                  <a:schemeClr val="dk1">
                    <a:alpha val="40000"/>
                  </a:schemeClr>
                </a:outerShdw>
              </a:effectLst>
            </a:endParaRPr>
          </a:p>
        </xdr:txBody>
      </xdr:sp>
      <xdr:sp macro="[0]!ReOrder" textlink="Support!B3">
        <xdr:nvSpPr>
          <xdr:cNvPr id="15" name="TextBox 14">
            <a:extLst>
              <a:ext uri="{FF2B5EF4-FFF2-40B4-BE49-F238E27FC236}">
                <a16:creationId xmlns:a16="http://schemas.microsoft.com/office/drawing/2014/main" id="{1ED2AF1B-BF1C-477F-A747-FD1BB3E04548}"/>
              </a:ext>
            </a:extLst>
          </xdr:cNvPr>
          <xdr:cNvSpPr txBox="1"/>
        </xdr:nvSpPr>
        <xdr:spPr>
          <a:xfrm>
            <a:off x="5534025" y="942975"/>
            <a:ext cx="12287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EB1B3C95-2A9E-49B8-9DDE-26B3CAF7B540}" type="TxLink">
              <a:rPr lang="en-US" sz="1100" b="1" i="0" u="none" strike="noStrike" cap="none" spc="0">
                <a:ln w="0"/>
                <a:solidFill>
                  <a:schemeClr val="accent2">
                    <a:lumMod val="75000"/>
                  </a:schemeClr>
                </a:solidFill>
                <a:effectLst>
                  <a:outerShdw blurRad="38100" dist="25400" dir="5400000" algn="ctr" rotWithShape="0">
                    <a:srgbClr val="6E747A">
                      <a:alpha val="43000"/>
                    </a:srgbClr>
                  </a:outerShdw>
                </a:effectLst>
                <a:latin typeface="Calibri"/>
                <a:cs typeface="Calibri"/>
              </a:rPr>
              <a:pPr algn="ctr"/>
              <a:t>13</a:t>
            </a:fld>
            <a:endParaRPr lang="en-GB" sz="1400" b="1" cap="none" spc="0">
              <a:ln w="0"/>
              <a:solidFill>
                <a:schemeClr val="accent2">
                  <a:lumMod val="75000"/>
                </a:schemeClr>
              </a:solidFill>
              <a:effectLst>
                <a:outerShdw blurRad="38100" dist="25400" dir="5400000" algn="ctr" rotWithShape="0">
                  <a:srgbClr val="6E747A">
                    <a:alpha val="43000"/>
                  </a:srgbClr>
                </a:outerShdw>
              </a:effectLst>
            </a:endParaRPr>
          </a:p>
        </xdr:txBody>
      </xdr:sp>
    </xdr:grpSp>
    <xdr:clientData/>
  </xdr:twoCellAnchor>
  <xdr:twoCellAnchor editAs="absolute">
    <xdr:from>
      <xdr:col>0</xdr:col>
      <xdr:colOff>231400</xdr:colOff>
      <xdr:row>2</xdr:row>
      <xdr:rowOff>151840</xdr:rowOff>
    </xdr:from>
    <xdr:to>
      <xdr:col>0</xdr:col>
      <xdr:colOff>1590675</xdr:colOff>
      <xdr:row>5</xdr:row>
      <xdr:rowOff>228040</xdr:rowOff>
    </xdr:to>
    <xdr:grpSp>
      <xdr:nvGrpSpPr>
        <xdr:cNvPr id="74" name="Group 73">
          <a:extLst>
            <a:ext uri="{FF2B5EF4-FFF2-40B4-BE49-F238E27FC236}">
              <a16:creationId xmlns:a16="http://schemas.microsoft.com/office/drawing/2014/main" id="{0875C218-825F-41A0-BA92-2878FC14C569}"/>
            </a:ext>
          </a:extLst>
        </xdr:cNvPr>
        <xdr:cNvGrpSpPr/>
      </xdr:nvGrpSpPr>
      <xdr:grpSpPr>
        <a:xfrm>
          <a:off x="231400" y="532840"/>
          <a:ext cx="1359275" cy="647700"/>
          <a:chOff x="276224" y="695325"/>
          <a:chExt cx="1362076" cy="647700"/>
        </a:xfrm>
      </xdr:grpSpPr>
      <xdr:sp macro="[0]!Current_stock" textlink="">
        <xdr:nvSpPr>
          <xdr:cNvPr id="75" name="Rectangle: Rounded Corners 74">
            <a:extLst>
              <a:ext uri="{FF2B5EF4-FFF2-40B4-BE49-F238E27FC236}">
                <a16:creationId xmlns:a16="http://schemas.microsoft.com/office/drawing/2014/main" id="{B938FBAA-D5DC-3303-13FE-1CA86FE2389E}"/>
              </a:ext>
            </a:extLst>
          </xdr:cNvPr>
          <xdr:cNvSpPr/>
        </xdr:nvSpPr>
        <xdr:spPr>
          <a:xfrm>
            <a:off x="276224" y="695325"/>
            <a:ext cx="1362076" cy="647700"/>
          </a:xfrm>
          <a:prstGeom prst="roundRect">
            <a:avLst/>
          </a:prstGeom>
          <a:solidFill>
            <a:schemeClr val="bg2"/>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urrent_stock" textlink="Support!A1">
        <xdr:nvSpPr>
          <xdr:cNvPr id="76" name="TextBox 75">
            <a:extLst>
              <a:ext uri="{FF2B5EF4-FFF2-40B4-BE49-F238E27FC236}">
                <a16:creationId xmlns:a16="http://schemas.microsoft.com/office/drawing/2014/main" id="{7C0231DA-1ECA-F2BA-B9FA-E2FEF3A2854C}"/>
              </a:ext>
            </a:extLst>
          </xdr:cNvPr>
          <xdr:cNvSpPr txBox="1"/>
        </xdr:nvSpPr>
        <xdr:spPr>
          <a:xfrm>
            <a:off x="295275" y="752475"/>
            <a:ext cx="12287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1B93DD8F-2F10-4A22-9D0D-047ABBDD0698}" type="TxLink">
              <a:rPr lang="en-US" sz="12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Current Stock</a:t>
            </a:fld>
            <a:endParaRPr lang="en-GB" sz="1200" b="1" cap="none" spc="0">
              <a:ln w="0"/>
              <a:solidFill>
                <a:schemeClr val="tx1"/>
              </a:solidFill>
              <a:effectLst>
                <a:outerShdw blurRad="38100" dist="19050" dir="2700000" algn="tl" rotWithShape="0">
                  <a:schemeClr val="dk1">
                    <a:alpha val="40000"/>
                  </a:schemeClr>
                </a:outerShdw>
              </a:effectLst>
            </a:endParaRPr>
          </a:p>
        </xdr:txBody>
      </xdr:sp>
      <xdr:sp macro="[0]!Current_stock" textlink="Support!B1">
        <xdr:nvSpPr>
          <xdr:cNvPr id="77" name="TextBox 76">
            <a:extLst>
              <a:ext uri="{FF2B5EF4-FFF2-40B4-BE49-F238E27FC236}">
                <a16:creationId xmlns:a16="http://schemas.microsoft.com/office/drawing/2014/main" id="{59B90860-02E4-727E-E5C3-4143905710B3}"/>
              </a:ext>
            </a:extLst>
          </xdr:cNvPr>
          <xdr:cNvSpPr txBox="1"/>
        </xdr:nvSpPr>
        <xdr:spPr>
          <a:xfrm>
            <a:off x="295275" y="942975"/>
            <a:ext cx="12287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95423AF8-0714-4ADF-8725-92E905E5995B}" type="TxLink">
              <a:rPr lang="en-US" sz="1100" b="1" i="0" u="none" strike="noStrike" cap="none" spc="0">
                <a:ln w="0"/>
                <a:solidFill>
                  <a:schemeClr val="accent2">
                    <a:lumMod val="75000"/>
                  </a:schemeClr>
                </a:solidFill>
                <a:effectLst>
                  <a:outerShdw blurRad="38100" dist="25400" dir="5400000" algn="ctr" rotWithShape="0">
                    <a:srgbClr val="6E747A">
                      <a:alpha val="43000"/>
                    </a:srgbClr>
                  </a:outerShdw>
                </a:effectLst>
                <a:latin typeface="Calibri"/>
                <a:cs typeface="Calibri"/>
              </a:rPr>
              <a:pPr algn="ctr"/>
              <a:t>6317</a:t>
            </a:fld>
            <a:endParaRPr lang="en-GB" sz="1400" b="1" cap="none" spc="0">
              <a:ln w="0"/>
              <a:solidFill>
                <a:schemeClr val="accent2">
                  <a:lumMod val="75000"/>
                </a:schemeClr>
              </a:solidFill>
              <a:effectLst>
                <a:outerShdw blurRad="38100" dist="25400" dir="5400000" algn="ctr" rotWithShape="0">
                  <a:srgbClr val="6E747A">
                    <a:alpha val="43000"/>
                  </a:srgbClr>
                </a:outerShdw>
              </a:effectLst>
            </a:endParaRPr>
          </a:p>
        </xdr:txBody>
      </xdr:sp>
    </xdr:grpSp>
    <xdr:clientData/>
  </xdr:twoCellAnchor>
  <xdr:twoCellAnchor editAs="absolute">
    <xdr:from>
      <xdr:col>4</xdr:col>
      <xdr:colOff>911596</xdr:colOff>
      <xdr:row>2</xdr:row>
      <xdr:rowOff>151840</xdr:rowOff>
    </xdr:from>
    <xdr:to>
      <xdr:col>5</xdr:col>
      <xdr:colOff>1083048</xdr:colOff>
      <xdr:row>5</xdr:row>
      <xdr:rowOff>228040</xdr:rowOff>
    </xdr:to>
    <xdr:grpSp>
      <xdr:nvGrpSpPr>
        <xdr:cNvPr id="78" name="Group 77">
          <a:extLst>
            <a:ext uri="{FF2B5EF4-FFF2-40B4-BE49-F238E27FC236}">
              <a16:creationId xmlns:a16="http://schemas.microsoft.com/office/drawing/2014/main" id="{F1B80769-56B3-94C6-40E3-FD00424A9C4B}"/>
            </a:ext>
          </a:extLst>
        </xdr:cNvPr>
        <xdr:cNvGrpSpPr/>
      </xdr:nvGrpSpPr>
      <xdr:grpSpPr>
        <a:xfrm>
          <a:off x="7148400" y="532840"/>
          <a:ext cx="1364148" cy="647700"/>
          <a:chOff x="7248524" y="714375"/>
          <a:chExt cx="1362076" cy="647700"/>
        </a:xfrm>
      </xdr:grpSpPr>
      <xdr:sp macro="[0]!Out_of_stock" textlink="">
        <xdr:nvSpPr>
          <xdr:cNvPr id="79" name="Rectangle: Rounded Corners 78">
            <a:extLst>
              <a:ext uri="{FF2B5EF4-FFF2-40B4-BE49-F238E27FC236}">
                <a16:creationId xmlns:a16="http://schemas.microsoft.com/office/drawing/2014/main" id="{5C845F89-71D3-4F48-E46C-BB50C4616073}"/>
              </a:ext>
            </a:extLst>
          </xdr:cNvPr>
          <xdr:cNvSpPr/>
        </xdr:nvSpPr>
        <xdr:spPr>
          <a:xfrm>
            <a:off x="7248524" y="714375"/>
            <a:ext cx="1362076" cy="647700"/>
          </a:xfrm>
          <a:prstGeom prst="roundRect">
            <a:avLst/>
          </a:prstGeom>
          <a:solidFill>
            <a:schemeClr val="bg2"/>
          </a:solidFill>
          <a:ln>
            <a:solidFill>
              <a:schemeClr val="bg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Out_of_stock" textlink="Support!A4">
        <xdr:nvSpPr>
          <xdr:cNvPr id="80" name="TextBox 79">
            <a:extLst>
              <a:ext uri="{FF2B5EF4-FFF2-40B4-BE49-F238E27FC236}">
                <a16:creationId xmlns:a16="http://schemas.microsoft.com/office/drawing/2014/main" id="{374BD61C-9514-9C03-AE21-CD24949A354D}"/>
              </a:ext>
            </a:extLst>
          </xdr:cNvPr>
          <xdr:cNvSpPr txBox="1"/>
        </xdr:nvSpPr>
        <xdr:spPr>
          <a:xfrm>
            <a:off x="7258050" y="752475"/>
            <a:ext cx="12287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5894C07A-E6E8-4D03-A7B0-AE9E5FD68594}" type="TxLink">
              <a:rPr lang="en-US" sz="1200" b="1" i="0" u="none" strike="noStrike" cap="none" spc="0">
                <a:ln w="0"/>
                <a:solidFill>
                  <a:schemeClr val="tx1"/>
                </a:solidFill>
                <a:effectLst>
                  <a:outerShdw blurRad="38100" dist="19050" dir="2700000" algn="tl" rotWithShape="0">
                    <a:schemeClr val="dk1">
                      <a:alpha val="40000"/>
                    </a:schemeClr>
                  </a:outerShdw>
                </a:effectLst>
                <a:latin typeface="Calibri"/>
                <a:cs typeface="Calibri"/>
              </a:rPr>
              <a:pPr algn="ctr"/>
              <a:t>Out of Stock</a:t>
            </a:fld>
            <a:endParaRPr lang="en-GB" sz="1200" b="1" cap="none" spc="0">
              <a:ln w="0"/>
              <a:solidFill>
                <a:schemeClr val="tx1"/>
              </a:solidFill>
              <a:effectLst>
                <a:outerShdw blurRad="38100" dist="19050" dir="2700000" algn="tl" rotWithShape="0">
                  <a:schemeClr val="dk1">
                    <a:alpha val="40000"/>
                  </a:schemeClr>
                </a:outerShdw>
              </a:effectLst>
            </a:endParaRPr>
          </a:p>
        </xdr:txBody>
      </xdr:sp>
      <xdr:sp macro="[0]!Out_of_stock" textlink="Support!B4">
        <xdr:nvSpPr>
          <xdr:cNvPr id="81" name="TextBox 80">
            <a:extLst>
              <a:ext uri="{FF2B5EF4-FFF2-40B4-BE49-F238E27FC236}">
                <a16:creationId xmlns:a16="http://schemas.microsoft.com/office/drawing/2014/main" id="{A5DEDACC-130E-A530-C8B6-B3DC0184AD6F}"/>
              </a:ext>
            </a:extLst>
          </xdr:cNvPr>
          <xdr:cNvSpPr txBox="1"/>
        </xdr:nvSpPr>
        <xdr:spPr>
          <a:xfrm>
            <a:off x="7324725" y="942975"/>
            <a:ext cx="1228726"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7DF9BDCE-0686-4C8D-BC31-9091E9BBBF01}" type="TxLink">
              <a:rPr lang="en-US" sz="1100" b="1" i="0" u="none" strike="noStrike" cap="none" spc="0">
                <a:ln w="0"/>
                <a:solidFill>
                  <a:schemeClr val="accent2">
                    <a:lumMod val="75000"/>
                  </a:schemeClr>
                </a:solidFill>
                <a:effectLst>
                  <a:outerShdw blurRad="38100" dist="25400" dir="5400000" algn="ctr" rotWithShape="0">
                    <a:srgbClr val="6E747A">
                      <a:alpha val="43000"/>
                    </a:srgbClr>
                  </a:outerShdw>
                </a:effectLst>
                <a:latin typeface="Calibri"/>
                <a:cs typeface="Calibri"/>
              </a:rPr>
              <a:pPr algn="ctr"/>
              <a:t>6</a:t>
            </a:fld>
            <a:endParaRPr lang="en-GB" sz="1400" b="1" cap="none" spc="0">
              <a:ln w="0"/>
              <a:solidFill>
                <a:schemeClr val="accent2">
                  <a:lumMod val="75000"/>
                </a:schemeClr>
              </a:solidFill>
              <a:effectLst>
                <a:outerShdw blurRad="38100" dist="25400" dir="5400000" algn="ctr" rotWithShape="0">
                  <a:srgbClr val="6E747A">
                    <a:alpha val="43000"/>
                  </a:srgbClr>
                </a:outerShdw>
              </a:effectLst>
            </a:endParaRPr>
          </a:p>
        </xdr:txBody>
      </xdr:sp>
    </xdr:grpSp>
    <xdr:clientData/>
  </xdr:twoCellAnchor>
  <xdr:twoCellAnchor>
    <xdr:from>
      <xdr:col>6</xdr:col>
      <xdr:colOff>627530</xdr:colOff>
      <xdr:row>2</xdr:row>
      <xdr:rowOff>151840</xdr:rowOff>
    </xdr:from>
    <xdr:to>
      <xdr:col>7</xdr:col>
      <xdr:colOff>728383</xdr:colOff>
      <xdr:row>5</xdr:row>
      <xdr:rowOff>129429</xdr:rowOff>
    </xdr:to>
    <xdr:sp macro="[0]!Show_Search_Form" textlink="">
      <xdr:nvSpPr>
        <xdr:cNvPr id="22" name="Rectangle: Rounded Corners 21">
          <a:extLst>
            <a:ext uri="{FF2B5EF4-FFF2-40B4-BE49-F238E27FC236}">
              <a16:creationId xmlns:a16="http://schemas.microsoft.com/office/drawing/2014/main" id="{075EF4D3-18DE-A4E5-DED1-7C6DEBF7DBDF}"/>
            </a:ext>
          </a:extLst>
        </xdr:cNvPr>
        <xdr:cNvSpPr/>
      </xdr:nvSpPr>
      <xdr:spPr>
        <a:xfrm>
          <a:off x="9222442" y="532840"/>
          <a:ext cx="1288676" cy="5490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1600" b="1"/>
            <a:t>Search</a:t>
          </a:r>
        </a:p>
      </xdr:txBody>
    </xdr:sp>
    <xdr:clientData/>
  </xdr:twoCellAnchor>
  <xdr:twoCellAnchor>
    <xdr:from>
      <xdr:col>7</xdr:col>
      <xdr:colOff>1004048</xdr:colOff>
      <xdr:row>2</xdr:row>
      <xdr:rowOff>151840</xdr:rowOff>
    </xdr:from>
    <xdr:to>
      <xdr:col>8</xdr:col>
      <xdr:colOff>1104900</xdr:colOff>
      <xdr:row>5</xdr:row>
      <xdr:rowOff>129429</xdr:rowOff>
    </xdr:to>
    <xdr:sp macro="[0]!Show_Update_Inventory_Form" textlink="">
      <xdr:nvSpPr>
        <xdr:cNvPr id="24" name="Rectangle: Rounded Corners 23">
          <a:extLst>
            <a:ext uri="{FF2B5EF4-FFF2-40B4-BE49-F238E27FC236}">
              <a16:creationId xmlns:a16="http://schemas.microsoft.com/office/drawing/2014/main" id="{B0A4ED4F-749E-461C-B06D-833E79D6A8DE}"/>
            </a:ext>
          </a:extLst>
        </xdr:cNvPr>
        <xdr:cNvSpPr/>
      </xdr:nvSpPr>
      <xdr:spPr>
        <a:xfrm>
          <a:off x="10786783" y="532840"/>
          <a:ext cx="1288676" cy="54908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GB" sz="2800" b="1"/>
            <a:t>+ </a:t>
          </a:r>
          <a:r>
            <a:rPr lang="en-GB" sz="1600" b="1"/>
            <a:t>In/Out</a:t>
          </a:r>
          <a:endParaRPr lang="en-GB" sz="1600" b="1" baseline="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A2CBA5-FEB5-4584-B245-69C4E164E3E5}">
  <sheetPr codeName="Sheet6">
    <tabColor theme="4"/>
  </sheetPr>
  <dimension ref="A3:L35"/>
  <sheetViews>
    <sheetView showGridLines="0" workbookViewId="0">
      <selection activeCell="H4" sqref="H4:L34"/>
    </sheetView>
  </sheetViews>
  <sheetFormatPr defaultRowHeight="15"/>
  <sheetData>
    <row r="3" spans="1:12">
      <c r="A3" s="25" t="s">
        <v>86</v>
      </c>
      <c r="B3" s="25"/>
      <c r="C3" s="25"/>
      <c r="D3" s="25"/>
      <c r="E3" s="25"/>
      <c r="H3" s="26" t="s">
        <v>87</v>
      </c>
      <c r="I3" s="26"/>
      <c r="J3" s="26"/>
      <c r="K3" s="26"/>
      <c r="L3" s="26"/>
    </row>
    <row r="4" spans="1:12" ht="15" customHeight="1">
      <c r="A4" s="24" t="s">
        <v>85</v>
      </c>
      <c r="B4" s="24"/>
      <c r="C4" s="24"/>
      <c r="D4" s="24"/>
      <c r="E4" s="24"/>
      <c r="H4" s="24" t="s">
        <v>88</v>
      </c>
      <c r="I4" s="24"/>
      <c r="J4" s="24"/>
      <c r="K4" s="24"/>
      <c r="L4" s="24"/>
    </row>
    <row r="5" spans="1:12">
      <c r="A5" s="24"/>
      <c r="B5" s="24"/>
      <c r="C5" s="24"/>
      <c r="D5" s="24"/>
      <c r="E5" s="24"/>
      <c r="H5" s="24"/>
      <c r="I5" s="24"/>
      <c r="J5" s="24"/>
      <c r="K5" s="24"/>
      <c r="L5" s="24"/>
    </row>
    <row r="6" spans="1:12">
      <c r="A6" s="24"/>
      <c r="B6" s="24"/>
      <c r="C6" s="24"/>
      <c r="D6" s="24"/>
      <c r="E6" s="24"/>
      <c r="H6" s="24"/>
      <c r="I6" s="24"/>
      <c r="J6" s="24"/>
      <c r="K6" s="24"/>
      <c r="L6" s="24"/>
    </row>
    <row r="7" spans="1:12">
      <c r="A7" s="24"/>
      <c r="B7" s="24"/>
      <c r="C7" s="24"/>
      <c r="D7" s="24"/>
      <c r="E7" s="24"/>
      <c r="H7" s="24"/>
      <c r="I7" s="24"/>
      <c r="J7" s="24"/>
      <c r="K7" s="24"/>
      <c r="L7" s="24"/>
    </row>
    <row r="8" spans="1:12">
      <c r="A8" s="24"/>
      <c r="B8" s="24"/>
      <c r="C8" s="24"/>
      <c r="D8" s="24"/>
      <c r="E8" s="24"/>
      <c r="H8" s="24"/>
      <c r="I8" s="24"/>
      <c r="J8" s="24"/>
      <c r="K8" s="24"/>
      <c r="L8" s="24"/>
    </row>
    <row r="9" spans="1:12">
      <c r="A9" s="24"/>
      <c r="B9" s="24"/>
      <c r="C9" s="24"/>
      <c r="D9" s="24"/>
      <c r="E9" s="24"/>
      <c r="H9" s="24"/>
      <c r="I9" s="24"/>
      <c r="J9" s="24"/>
      <c r="K9" s="24"/>
      <c r="L9" s="24"/>
    </row>
    <row r="10" spans="1:12">
      <c r="A10" s="24"/>
      <c r="B10" s="24"/>
      <c r="C10" s="24"/>
      <c r="D10" s="24"/>
      <c r="E10" s="24"/>
      <c r="H10" s="24"/>
      <c r="I10" s="24"/>
      <c r="J10" s="24"/>
      <c r="K10" s="24"/>
      <c r="L10" s="24"/>
    </row>
    <row r="11" spans="1:12">
      <c r="A11" s="24"/>
      <c r="B11" s="24"/>
      <c r="C11" s="24"/>
      <c r="D11" s="24"/>
      <c r="E11" s="24"/>
      <c r="H11" s="24"/>
      <c r="I11" s="24"/>
      <c r="J11" s="24"/>
      <c r="K11" s="24"/>
      <c r="L11" s="24"/>
    </row>
    <row r="12" spans="1:12">
      <c r="A12" s="24"/>
      <c r="B12" s="24"/>
      <c r="C12" s="24"/>
      <c r="D12" s="24"/>
      <c r="E12" s="24"/>
      <c r="H12" s="24"/>
      <c r="I12" s="24"/>
      <c r="J12" s="24"/>
      <c r="K12" s="24"/>
      <c r="L12" s="24"/>
    </row>
    <row r="13" spans="1:12">
      <c r="A13" s="24"/>
      <c r="B13" s="24"/>
      <c r="C13" s="24"/>
      <c r="D13" s="24"/>
      <c r="E13" s="24"/>
      <c r="H13" s="24"/>
      <c r="I13" s="24"/>
      <c r="J13" s="24"/>
      <c r="K13" s="24"/>
      <c r="L13" s="24"/>
    </row>
    <row r="14" spans="1:12">
      <c r="A14" s="24"/>
      <c r="B14" s="24"/>
      <c r="C14" s="24"/>
      <c r="D14" s="24"/>
      <c r="E14" s="24"/>
      <c r="H14" s="24"/>
      <c r="I14" s="24"/>
      <c r="J14" s="24"/>
      <c r="K14" s="24"/>
      <c r="L14" s="24"/>
    </row>
    <row r="15" spans="1:12">
      <c r="A15" s="24"/>
      <c r="B15" s="24"/>
      <c r="C15" s="24"/>
      <c r="D15" s="24"/>
      <c r="E15" s="24"/>
      <c r="H15" s="24"/>
      <c r="I15" s="24"/>
      <c r="J15" s="24"/>
      <c r="K15" s="24"/>
      <c r="L15" s="24"/>
    </row>
    <row r="16" spans="1:12">
      <c r="A16" s="24"/>
      <c r="B16" s="24"/>
      <c r="C16" s="24"/>
      <c r="D16" s="24"/>
      <c r="E16" s="24"/>
      <c r="H16" s="24"/>
      <c r="I16" s="24"/>
      <c r="J16" s="24"/>
      <c r="K16" s="24"/>
      <c r="L16" s="24"/>
    </row>
    <row r="17" spans="1:12">
      <c r="A17" s="24"/>
      <c r="B17" s="24"/>
      <c r="C17" s="24"/>
      <c r="D17" s="24"/>
      <c r="E17" s="24"/>
      <c r="H17" s="24"/>
      <c r="I17" s="24"/>
      <c r="J17" s="24"/>
      <c r="K17" s="24"/>
      <c r="L17" s="24"/>
    </row>
    <row r="18" spans="1:12">
      <c r="A18" s="24"/>
      <c r="B18" s="24"/>
      <c r="C18" s="24"/>
      <c r="D18" s="24"/>
      <c r="E18" s="24"/>
      <c r="H18" s="24"/>
      <c r="I18" s="24"/>
      <c r="J18" s="24"/>
      <c r="K18" s="24"/>
      <c r="L18" s="24"/>
    </row>
    <row r="19" spans="1:12">
      <c r="A19" s="24"/>
      <c r="B19" s="24"/>
      <c r="C19" s="24"/>
      <c r="D19" s="24"/>
      <c r="E19" s="24"/>
      <c r="H19" s="24"/>
      <c r="I19" s="24"/>
      <c r="J19" s="24"/>
      <c r="K19" s="24"/>
      <c r="L19" s="24"/>
    </row>
    <row r="20" spans="1:12">
      <c r="A20" s="24"/>
      <c r="B20" s="24"/>
      <c r="C20" s="24"/>
      <c r="D20" s="24"/>
      <c r="E20" s="24"/>
      <c r="H20" s="24"/>
      <c r="I20" s="24"/>
      <c r="J20" s="24"/>
      <c r="K20" s="24"/>
      <c r="L20" s="24"/>
    </row>
    <row r="21" spans="1:12">
      <c r="A21" s="24"/>
      <c r="B21" s="24"/>
      <c r="C21" s="24"/>
      <c r="D21" s="24"/>
      <c r="E21" s="24"/>
      <c r="H21" s="24"/>
      <c r="I21" s="24"/>
      <c r="J21" s="24"/>
      <c r="K21" s="24"/>
      <c r="L21" s="24"/>
    </row>
    <row r="22" spans="1:12">
      <c r="A22" s="24"/>
      <c r="B22" s="24"/>
      <c r="C22" s="24"/>
      <c r="D22" s="24"/>
      <c r="E22" s="24"/>
      <c r="H22" s="24"/>
      <c r="I22" s="24"/>
      <c r="J22" s="24"/>
      <c r="K22" s="24"/>
      <c r="L22" s="24"/>
    </row>
    <row r="23" spans="1:12">
      <c r="A23" s="24"/>
      <c r="B23" s="24"/>
      <c r="C23" s="24"/>
      <c r="D23" s="24"/>
      <c r="E23" s="24"/>
      <c r="H23" s="24"/>
      <c r="I23" s="24"/>
      <c r="J23" s="24"/>
      <c r="K23" s="24"/>
      <c r="L23" s="24"/>
    </row>
    <row r="24" spans="1:12">
      <c r="A24" s="24"/>
      <c r="B24" s="24"/>
      <c r="C24" s="24"/>
      <c r="D24" s="24"/>
      <c r="E24" s="24"/>
      <c r="H24" s="24"/>
      <c r="I24" s="24"/>
      <c r="J24" s="24"/>
      <c r="K24" s="24"/>
      <c r="L24" s="24"/>
    </row>
    <row r="25" spans="1:12">
      <c r="A25" s="24"/>
      <c r="B25" s="24"/>
      <c r="C25" s="24"/>
      <c r="D25" s="24"/>
      <c r="E25" s="24"/>
      <c r="H25" s="24"/>
      <c r="I25" s="24"/>
      <c r="J25" s="24"/>
      <c r="K25" s="24"/>
      <c r="L25" s="24"/>
    </row>
    <row r="26" spans="1:12">
      <c r="A26" s="24"/>
      <c r="B26" s="24"/>
      <c r="C26" s="24"/>
      <c r="D26" s="24"/>
      <c r="E26" s="24"/>
      <c r="H26" s="24"/>
      <c r="I26" s="24"/>
      <c r="J26" s="24"/>
      <c r="K26" s="24"/>
      <c r="L26" s="24"/>
    </row>
    <row r="27" spans="1:12">
      <c r="A27" s="24"/>
      <c r="B27" s="24"/>
      <c r="C27" s="24"/>
      <c r="D27" s="24"/>
      <c r="E27" s="24"/>
      <c r="H27" s="24"/>
      <c r="I27" s="24"/>
      <c r="J27" s="24"/>
      <c r="K27" s="24"/>
      <c r="L27" s="24"/>
    </row>
    <row r="28" spans="1:12">
      <c r="A28" s="24"/>
      <c r="B28" s="24"/>
      <c r="C28" s="24"/>
      <c r="D28" s="24"/>
      <c r="E28" s="24"/>
      <c r="H28" s="24"/>
      <c r="I28" s="24"/>
      <c r="J28" s="24"/>
      <c r="K28" s="24"/>
      <c r="L28" s="24"/>
    </row>
    <row r="29" spans="1:12">
      <c r="A29" s="24"/>
      <c r="B29" s="24"/>
      <c r="C29" s="24"/>
      <c r="D29" s="24"/>
      <c r="E29" s="24"/>
      <c r="H29" s="24"/>
      <c r="I29" s="24"/>
      <c r="J29" s="24"/>
      <c r="K29" s="24"/>
      <c r="L29" s="24"/>
    </row>
    <row r="30" spans="1:12">
      <c r="A30" s="24"/>
      <c r="B30" s="24"/>
      <c r="C30" s="24"/>
      <c r="D30" s="24"/>
      <c r="E30" s="24"/>
      <c r="H30" s="24"/>
      <c r="I30" s="24"/>
      <c r="J30" s="24"/>
      <c r="K30" s="24"/>
      <c r="L30" s="24"/>
    </row>
    <row r="31" spans="1:12">
      <c r="A31" s="24"/>
      <c r="B31" s="24"/>
      <c r="C31" s="24"/>
      <c r="D31" s="24"/>
      <c r="E31" s="24"/>
      <c r="H31" s="24"/>
      <c r="I31" s="24"/>
      <c r="J31" s="24"/>
      <c r="K31" s="24"/>
      <c r="L31" s="24"/>
    </row>
    <row r="32" spans="1:12">
      <c r="A32" s="24"/>
      <c r="B32" s="24"/>
      <c r="C32" s="24"/>
      <c r="D32" s="24"/>
      <c r="E32" s="24"/>
      <c r="H32" s="24"/>
      <c r="I32" s="24"/>
      <c r="J32" s="24"/>
      <c r="K32" s="24"/>
      <c r="L32" s="24"/>
    </row>
    <row r="33" spans="1:12">
      <c r="A33" s="24"/>
      <c r="B33" s="24"/>
      <c r="C33" s="24"/>
      <c r="D33" s="24"/>
      <c r="E33" s="24"/>
      <c r="H33" s="24"/>
      <c r="I33" s="24"/>
      <c r="J33" s="24"/>
      <c r="K33" s="24"/>
      <c r="L33" s="24"/>
    </row>
    <row r="34" spans="1:12">
      <c r="A34" s="24"/>
      <c r="B34" s="24"/>
      <c r="C34" s="24"/>
      <c r="D34" s="24"/>
      <c r="E34" s="24"/>
      <c r="H34" s="24"/>
      <c r="I34" s="24"/>
      <c r="J34" s="24"/>
      <c r="K34" s="24"/>
      <c r="L34" s="24"/>
    </row>
    <row r="35" spans="1:12">
      <c r="A35" s="22"/>
    </row>
  </sheetData>
  <sheetProtection sheet="1" objects="1" scenarios="1"/>
  <mergeCells count="4">
    <mergeCell ref="A4:E34"/>
    <mergeCell ref="A3:E3"/>
    <mergeCell ref="H3:L3"/>
    <mergeCell ref="H4:L34"/>
  </mergeCells>
  <pageMargins left="0.7" right="0.7" top="0.75" bottom="0.75" header="0.3" footer="0.3"/>
  <pageSetup paperSize="256" orientation="portrait" horizontalDpi="203" verticalDpi="20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06548F-DEF8-4472-B6F2-4C2A5719319D}">
  <sheetPr codeName="Sheet1">
    <tabColor theme="9"/>
  </sheetPr>
  <dimension ref="A1:L13"/>
  <sheetViews>
    <sheetView showGridLines="0" tabSelected="1" zoomScale="115" zoomScaleNormal="115" workbookViewId="0">
      <pane ySplit="7" topLeftCell="A8" activePane="bottomLeft" state="frozen"/>
      <selection pane="bottomLeft" sqref="A1:L2"/>
    </sheetView>
  </sheetViews>
  <sheetFormatPr defaultRowHeight="15"/>
  <cols>
    <col min="1" max="1" width="39.85546875" bestFit="1" customWidth="1"/>
    <col min="2" max="11" width="17.85546875" customWidth="1"/>
  </cols>
  <sheetData>
    <row r="1" spans="1:12" ht="15" customHeight="1">
      <c r="A1" s="27" t="s">
        <v>39</v>
      </c>
      <c r="B1" s="27"/>
      <c r="C1" s="27"/>
      <c r="D1" s="27"/>
      <c r="E1" s="27"/>
      <c r="F1" s="27"/>
      <c r="G1" s="27"/>
      <c r="H1" s="27"/>
      <c r="I1" s="27"/>
      <c r="J1" s="27"/>
      <c r="K1" s="27"/>
      <c r="L1" s="27"/>
    </row>
    <row r="2" spans="1:12" ht="15" customHeight="1">
      <c r="A2" s="27"/>
      <c r="B2" s="27"/>
      <c r="C2" s="27"/>
      <c r="D2" s="27"/>
      <c r="E2" s="27"/>
      <c r="F2" s="27"/>
      <c r="G2" s="27"/>
      <c r="H2" s="27"/>
      <c r="I2" s="27"/>
      <c r="J2" s="27"/>
      <c r="K2" s="27"/>
      <c r="L2" s="27"/>
    </row>
    <row r="6" spans="1:12" ht="39.75" customHeight="1"/>
    <row r="7" spans="1:12">
      <c r="A7" s="7" t="s">
        <v>25</v>
      </c>
      <c r="B7" s="6" t="s">
        <v>22</v>
      </c>
      <c r="C7" s="6" t="s">
        <v>26</v>
      </c>
      <c r="D7" s="6" t="s">
        <v>27</v>
      </c>
      <c r="E7" s="6" t="s">
        <v>28</v>
      </c>
      <c r="F7" s="6" t="s">
        <v>29</v>
      </c>
      <c r="G7" s="6" t="s">
        <v>30</v>
      </c>
      <c r="H7" s="6" t="s">
        <v>31</v>
      </c>
      <c r="I7" s="6" t="s">
        <v>32</v>
      </c>
    </row>
    <row r="8" spans="1:12" ht="15.75">
      <c r="A8" s="8" t="s">
        <v>16</v>
      </c>
      <c r="B8" s="14">
        <v>61</v>
      </c>
      <c r="C8" s="14">
        <v>0</v>
      </c>
      <c r="D8" s="14">
        <v>63</v>
      </c>
      <c r="E8" s="14">
        <v>-2</v>
      </c>
      <c r="F8" s="15">
        <v>-4</v>
      </c>
      <c r="G8" s="14">
        <v>6</v>
      </c>
      <c r="H8" s="14" t="s">
        <v>84</v>
      </c>
      <c r="I8" s="14">
        <v>1</v>
      </c>
    </row>
    <row r="9" spans="1:12" ht="15.75">
      <c r="A9" s="8" t="s">
        <v>77</v>
      </c>
      <c r="B9" s="14">
        <v>165</v>
      </c>
      <c r="C9" s="14">
        <v>12</v>
      </c>
      <c r="D9" s="14">
        <v>181</v>
      </c>
      <c r="E9" s="14">
        <v>-4</v>
      </c>
      <c r="F9" s="15">
        <v>-61.825108225108401</v>
      </c>
      <c r="G9" s="14">
        <v>2</v>
      </c>
      <c r="H9" s="14" t="s">
        <v>84</v>
      </c>
      <c r="I9" s="14">
        <v>2</v>
      </c>
    </row>
    <row r="10" spans="1:12" ht="15.75">
      <c r="A10" s="8" t="s">
        <v>57</v>
      </c>
      <c r="B10" s="14">
        <v>61</v>
      </c>
      <c r="C10" s="14">
        <v>0</v>
      </c>
      <c r="D10" s="14">
        <v>61</v>
      </c>
      <c r="E10" s="14">
        <v>0</v>
      </c>
      <c r="F10" s="15">
        <v>0</v>
      </c>
      <c r="G10" s="14">
        <v>2</v>
      </c>
      <c r="H10" s="14" t="s">
        <v>84</v>
      </c>
      <c r="I10" s="14">
        <v>3</v>
      </c>
    </row>
    <row r="11" spans="1:12" ht="15.75">
      <c r="A11" s="8" t="s">
        <v>56</v>
      </c>
      <c r="B11" s="14">
        <v>35</v>
      </c>
      <c r="C11" s="14">
        <v>0</v>
      </c>
      <c r="D11" s="14">
        <v>35</v>
      </c>
      <c r="E11" s="14">
        <v>0</v>
      </c>
      <c r="F11" s="15">
        <v>0</v>
      </c>
      <c r="G11" s="14">
        <v>2</v>
      </c>
      <c r="H11" s="14" t="s">
        <v>84</v>
      </c>
      <c r="I11" s="14">
        <v>1</v>
      </c>
    </row>
    <row r="12" spans="1:12" ht="15.75">
      <c r="A12" s="8" t="s">
        <v>71</v>
      </c>
      <c r="B12" s="14">
        <v>32</v>
      </c>
      <c r="C12" s="14">
        <v>0</v>
      </c>
      <c r="D12" s="14">
        <v>33</v>
      </c>
      <c r="E12" s="14">
        <v>-1</v>
      </c>
      <c r="F12" s="15">
        <v>-21</v>
      </c>
      <c r="G12" s="14">
        <v>2</v>
      </c>
      <c r="H12" s="14" t="s">
        <v>84</v>
      </c>
      <c r="I12" s="14">
        <v>2</v>
      </c>
    </row>
    <row r="13" spans="1:12" ht="15.75">
      <c r="A13" s="8" t="s">
        <v>54</v>
      </c>
      <c r="B13" s="14">
        <v>3</v>
      </c>
      <c r="C13" s="14">
        <v>112</v>
      </c>
      <c r="D13" s="14">
        <v>116</v>
      </c>
      <c r="E13" s="14">
        <v>-1</v>
      </c>
      <c r="F13" s="15">
        <v>-2</v>
      </c>
      <c r="G13" s="14">
        <v>2</v>
      </c>
      <c r="H13" s="14" t="s">
        <v>84</v>
      </c>
      <c r="I13" s="14">
        <v>3</v>
      </c>
    </row>
  </sheetData>
  <mergeCells count="1">
    <mergeCell ref="A1:L2"/>
  </mergeCells>
  <conditionalFormatting sqref="E7:E13">
    <cfRule type="cellIs" dxfId="0" priority="1" operator="lessThan">
      <formula>0</formula>
    </cfRule>
  </conditionalFormatting>
  <pageMargins left="0.7" right="0.7" top="0.75" bottom="0.75" header="0.3" footer="0.3"/>
  <pageSetup paperSize="256" orientation="portrait" horizontalDpi="203" verticalDpi="203"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A752C-725F-4A26-979B-9896BE4F3152}">
  <sheetPr codeName="Sheet4"/>
  <dimension ref="A1:B4"/>
  <sheetViews>
    <sheetView workbookViewId="0">
      <selection activeCell="B1" sqref="B1"/>
    </sheetView>
  </sheetViews>
  <sheetFormatPr defaultRowHeight="15"/>
  <cols>
    <col min="1" max="1" width="12.85546875" bestFit="1" customWidth="1"/>
    <col min="2" max="2" width="10.140625" bestFit="1" customWidth="1"/>
  </cols>
  <sheetData>
    <row r="1" spans="1:2">
      <c r="A1" t="s">
        <v>33</v>
      </c>
      <c r="B1">
        <f>SUM(Inventory!E:E)</f>
        <v>6317</v>
      </c>
    </row>
    <row r="2" spans="1:2">
      <c r="A2" t="s">
        <v>29</v>
      </c>
      <c r="B2" s="23">
        <f>SUM(Inventory!F:F)</f>
        <v>86934.394805194854</v>
      </c>
    </row>
    <row r="3" spans="1:2">
      <c r="A3" t="s">
        <v>34</v>
      </c>
      <c r="B3">
        <f>COUNTIF(Inventory!H:H,"Yes")</f>
        <v>13</v>
      </c>
    </row>
    <row r="4" spans="1:2">
      <c r="A4" t="s">
        <v>35</v>
      </c>
      <c r="B4">
        <f>COUNT(Inventory!$E$2:$E$1048576) - COUNTIF(Inventory!E:E,"&gt;0")</f>
        <v>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23D77-E11D-4202-97EB-FBD6EF376777}">
  <sheetPr codeName="Sheet2">
    <tabColor rgb="FFFF0000"/>
  </sheetPr>
  <dimension ref="A1:D64"/>
  <sheetViews>
    <sheetView workbookViewId="0"/>
  </sheetViews>
  <sheetFormatPr defaultRowHeight="15"/>
  <cols>
    <col min="1" max="1" width="38.42578125" bestFit="1" customWidth="1"/>
    <col min="2" max="2" width="28.85546875" customWidth="1"/>
    <col min="3" max="3" width="13.140625" bestFit="1" customWidth="1"/>
    <col min="4" max="4" width="18.5703125" bestFit="1" customWidth="1"/>
  </cols>
  <sheetData>
    <row r="1" spans="1:4">
      <c r="A1" s="5" t="s">
        <v>37</v>
      </c>
      <c r="B1" s="5" t="s">
        <v>36</v>
      </c>
      <c r="C1" s="5" t="s">
        <v>17</v>
      </c>
      <c r="D1" s="5" t="s">
        <v>38</v>
      </c>
    </row>
    <row r="2" spans="1:4" ht="15.75">
      <c r="A2" s="10" t="s">
        <v>16</v>
      </c>
      <c r="B2" s="1">
        <v>2</v>
      </c>
      <c r="C2" s="2">
        <v>1</v>
      </c>
      <c r="D2" s="3">
        <v>6</v>
      </c>
    </row>
    <row r="3" spans="1:4" ht="15.75">
      <c r="A3" s="11" t="s">
        <v>77</v>
      </c>
      <c r="B3" s="1">
        <v>20.552380952381</v>
      </c>
      <c r="C3" s="2">
        <v>2</v>
      </c>
      <c r="D3" s="3">
        <v>2</v>
      </c>
    </row>
    <row r="4" spans="1:4" ht="15.75">
      <c r="A4" s="12" t="s">
        <v>57</v>
      </c>
      <c r="B4" s="1">
        <v>14.8900432900433</v>
      </c>
      <c r="C4" s="2">
        <v>3</v>
      </c>
      <c r="D4" s="3">
        <v>2</v>
      </c>
    </row>
    <row r="5" spans="1:4" ht="15.75">
      <c r="A5" s="10" t="s">
        <v>56</v>
      </c>
      <c r="B5" s="1">
        <v>14.6069264069264</v>
      </c>
      <c r="C5" s="2">
        <v>1</v>
      </c>
      <c r="D5" s="3">
        <v>2</v>
      </c>
    </row>
    <row r="6" spans="1:4" ht="15.75">
      <c r="A6" s="12" t="s">
        <v>71</v>
      </c>
      <c r="B6" s="1">
        <v>18.853679653679698</v>
      </c>
      <c r="C6" s="2">
        <v>2</v>
      </c>
      <c r="D6" s="3">
        <v>2</v>
      </c>
    </row>
    <row r="7" spans="1:4" ht="15.75">
      <c r="A7" s="12" t="s">
        <v>54</v>
      </c>
      <c r="B7" s="1">
        <v>14.040692640692599</v>
      </c>
      <c r="C7" s="2">
        <v>3</v>
      </c>
      <c r="D7" s="3">
        <v>2</v>
      </c>
    </row>
    <row r="8" spans="1:4" ht="15.75">
      <c r="A8" s="12" t="s">
        <v>72</v>
      </c>
      <c r="B8" s="1">
        <v>19.136796536796599</v>
      </c>
      <c r="C8" s="2">
        <v>1</v>
      </c>
      <c r="D8" s="3">
        <v>2</v>
      </c>
    </row>
    <row r="9" spans="1:4" ht="15.75">
      <c r="A9" s="12" t="s">
        <v>70</v>
      </c>
      <c r="B9" s="1">
        <v>18.570562770562798</v>
      </c>
      <c r="C9" s="2">
        <v>2</v>
      </c>
      <c r="D9" s="3">
        <v>2</v>
      </c>
    </row>
    <row r="10" spans="1:4" ht="15.75">
      <c r="A10" s="13" t="s">
        <v>81</v>
      </c>
      <c r="B10" s="1">
        <v>21.684848484848501</v>
      </c>
      <c r="C10" s="2">
        <v>3</v>
      </c>
      <c r="D10" s="3">
        <v>2</v>
      </c>
    </row>
    <row r="11" spans="1:4" ht="15.75">
      <c r="A11" s="10" t="s">
        <v>61</v>
      </c>
      <c r="B11" s="1">
        <v>16.022510822510899</v>
      </c>
      <c r="C11" s="2">
        <v>11</v>
      </c>
      <c r="D11" s="3">
        <v>2</v>
      </c>
    </row>
    <row r="12" spans="1:4" ht="15.75">
      <c r="A12" s="10" t="s">
        <v>60</v>
      </c>
      <c r="B12" s="1">
        <v>15.739393939394001</v>
      </c>
      <c r="C12" s="2">
        <v>2</v>
      </c>
      <c r="D12" s="3">
        <v>2</v>
      </c>
    </row>
    <row r="13" spans="1:4" ht="15.75">
      <c r="A13" s="10" t="s">
        <v>42</v>
      </c>
      <c r="B13" s="1">
        <v>12</v>
      </c>
      <c r="C13" s="2">
        <v>3</v>
      </c>
      <c r="D13" s="3">
        <v>8</v>
      </c>
    </row>
    <row r="14" spans="1:4" ht="15.75">
      <c r="A14" s="12" t="s">
        <v>67</v>
      </c>
      <c r="B14" s="1">
        <v>17.721212121212201</v>
      </c>
      <c r="C14" s="2">
        <v>1</v>
      </c>
      <c r="D14" s="3">
        <v>2</v>
      </c>
    </row>
    <row r="15" spans="1:4" ht="15.75">
      <c r="A15" s="11" t="s">
        <v>78</v>
      </c>
      <c r="B15" s="1">
        <v>20.8354978354979</v>
      </c>
      <c r="C15" s="2">
        <v>2</v>
      </c>
      <c r="D15" s="3">
        <v>2</v>
      </c>
    </row>
    <row r="16" spans="1:4" ht="15.75">
      <c r="A16" s="11" t="s">
        <v>76</v>
      </c>
      <c r="B16" s="1">
        <v>20.2692640692641</v>
      </c>
      <c r="C16" s="2">
        <v>3</v>
      </c>
      <c r="D16" s="3">
        <v>2</v>
      </c>
    </row>
    <row r="17" spans="1:4" ht="15.75">
      <c r="A17" s="10" t="s">
        <v>41</v>
      </c>
      <c r="B17" s="1">
        <v>21</v>
      </c>
      <c r="C17" s="2">
        <v>1</v>
      </c>
      <c r="D17" s="2">
        <v>5</v>
      </c>
    </row>
    <row r="18" spans="1:4" ht="15.75">
      <c r="A18" s="10" t="s">
        <v>6</v>
      </c>
      <c r="B18" s="1">
        <v>1</v>
      </c>
      <c r="C18" s="2">
        <v>2</v>
      </c>
      <c r="D18" s="3">
        <v>5</v>
      </c>
    </row>
    <row r="19" spans="1:4" ht="15.75">
      <c r="A19" s="10" t="s">
        <v>5</v>
      </c>
      <c r="B19" s="1">
        <v>33</v>
      </c>
      <c r="C19" s="2">
        <v>3</v>
      </c>
      <c r="D19" s="3">
        <v>5</v>
      </c>
    </row>
    <row r="20" spans="1:4" ht="15.75">
      <c r="A20" s="10" t="s">
        <v>4</v>
      </c>
      <c r="B20" s="1">
        <v>2</v>
      </c>
      <c r="C20" s="2">
        <v>1</v>
      </c>
      <c r="D20" s="3">
        <v>5</v>
      </c>
    </row>
    <row r="21" spans="1:4" ht="15.75">
      <c r="A21" s="10" t="s">
        <v>3</v>
      </c>
      <c r="B21" s="1">
        <v>3</v>
      </c>
      <c r="C21" s="2">
        <v>2</v>
      </c>
      <c r="D21" s="3">
        <v>5</v>
      </c>
    </row>
    <row r="22" spans="1:4" ht="15.75">
      <c r="A22" s="10" t="s">
        <v>2</v>
      </c>
      <c r="B22" s="1">
        <v>2</v>
      </c>
      <c r="C22" s="2">
        <v>3</v>
      </c>
      <c r="D22" s="3">
        <v>5</v>
      </c>
    </row>
    <row r="23" spans="1:4" ht="15.75">
      <c r="A23" s="10" t="s">
        <v>1</v>
      </c>
      <c r="B23" s="1">
        <v>4</v>
      </c>
      <c r="C23" s="2">
        <v>1</v>
      </c>
      <c r="D23" s="3">
        <v>5</v>
      </c>
    </row>
    <row r="24" spans="1:4" ht="15.75">
      <c r="A24" s="10" t="s">
        <v>0</v>
      </c>
      <c r="B24" s="1">
        <v>3</v>
      </c>
      <c r="C24" s="2">
        <v>2</v>
      </c>
      <c r="D24" s="3">
        <v>5</v>
      </c>
    </row>
    <row r="25" spans="1:4" ht="15.75">
      <c r="A25" s="10" t="s">
        <v>40</v>
      </c>
      <c r="B25" s="1">
        <v>2</v>
      </c>
      <c r="C25" s="2">
        <v>3</v>
      </c>
      <c r="D25" s="3">
        <v>5</v>
      </c>
    </row>
    <row r="26" spans="1:4" ht="15.75">
      <c r="A26" s="10" t="s">
        <v>14</v>
      </c>
      <c r="B26" s="1">
        <v>1</v>
      </c>
      <c r="C26" s="2">
        <v>1</v>
      </c>
      <c r="D26" s="3">
        <v>5</v>
      </c>
    </row>
    <row r="27" spans="1:4" ht="15.75">
      <c r="A27" s="11" t="s">
        <v>79</v>
      </c>
      <c r="B27" s="1">
        <v>21.118614718614801</v>
      </c>
      <c r="C27" s="2">
        <v>2</v>
      </c>
      <c r="D27" s="3">
        <v>2</v>
      </c>
    </row>
    <row r="28" spans="1:4" ht="15.75">
      <c r="A28" s="10" t="s">
        <v>15</v>
      </c>
      <c r="B28" s="1">
        <v>21</v>
      </c>
      <c r="C28" s="2">
        <v>3</v>
      </c>
      <c r="D28" s="3">
        <v>6</v>
      </c>
    </row>
    <row r="29" spans="1:4">
      <c r="A29" s="12" t="s">
        <v>64</v>
      </c>
      <c r="B29" s="4">
        <v>16.8718614718615</v>
      </c>
      <c r="C29" s="2">
        <v>7</v>
      </c>
      <c r="D29" s="3">
        <v>2</v>
      </c>
    </row>
    <row r="30" spans="1:4" ht="15.75">
      <c r="A30" s="12" t="s">
        <v>63</v>
      </c>
      <c r="B30" s="1">
        <v>16.5887445887446</v>
      </c>
      <c r="C30" s="2">
        <v>2</v>
      </c>
      <c r="D30" s="3">
        <v>2</v>
      </c>
    </row>
    <row r="31" spans="1:4" ht="15.75">
      <c r="A31" s="10" t="s">
        <v>50</v>
      </c>
      <c r="B31" s="1">
        <v>12.9082251082251</v>
      </c>
      <c r="C31" s="2">
        <v>3</v>
      </c>
      <c r="D31" s="3">
        <v>2</v>
      </c>
    </row>
    <row r="32" spans="1:4" ht="15.75">
      <c r="A32" s="12" t="s">
        <v>55</v>
      </c>
      <c r="B32" s="1">
        <v>14.3238095238095</v>
      </c>
      <c r="C32" s="2">
        <v>1</v>
      </c>
      <c r="D32" s="3">
        <v>2</v>
      </c>
    </row>
    <row r="33" spans="1:4" ht="15.75">
      <c r="A33" s="10" t="s">
        <v>10</v>
      </c>
      <c r="B33" s="1">
        <v>2</v>
      </c>
      <c r="C33" s="2">
        <v>2</v>
      </c>
      <c r="D33" s="3">
        <v>5</v>
      </c>
    </row>
    <row r="34" spans="1:4" ht="15.75">
      <c r="A34" s="10" t="s">
        <v>46</v>
      </c>
      <c r="B34" s="1">
        <v>11.7757575757576</v>
      </c>
      <c r="C34" s="2">
        <v>3</v>
      </c>
      <c r="D34" s="3">
        <v>2</v>
      </c>
    </row>
    <row r="35" spans="1:4" ht="15.75">
      <c r="A35" s="11" t="s">
        <v>73</v>
      </c>
      <c r="B35" s="1">
        <v>19.419913419913499</v>
      </c>
      <c r="C35" s="2">
        <v>1</v>
      </c>
      <c r="D35" s="3">
        <v>2</v>
      </c>
    </row>
    <row r="36" spans="1:4" ht="15.75">
      <c r="A36" s="10" t="s">
        <v>11</v>
      </c>
      <c r="B36" s="1">
        <v>1</v>
      </c>
      <c r="C36" s="2">
        <v>2</v>
      </c>
      <c r="D36" s="3">
        <v>5</v>
      </c>
    </row>
    <row r="37" spans="1:4" ht="15.75">
      <c r="A37" s="11" t="s">
        <v>75</v>
      </c>
      <c r="B37" s="1">
        <v>19.9861471861472</v>
      </c>
      <c r="C37" s="2">
        <v>3</v>
      </c>
      <c r="D37" s="3">
        <v>2</v>
      </c>
    </row>
    <row r="38" spans="1:4" ht="15.75">
      <c r="A38" s="10" t="s">
        <v>43</v>
      </c>
      <c r="B38" s="4">
        <v>12</v>
      </c>
      <c r="C38" s="2">
        <v>1</v>
      </c>
      <c r="D38" s="3">
        <v>2</v>
      </c>
    </row>
    <row r="39" spans="1:4" ht="15.75">
      <c r="A39" s="10" t="s">
        <v>62</v>
      </c>
      <c r="B39" s="1">
        <v>16.3056277056277</v>
      </c>
      <c r="C39" s="2">
        <v>2</v>
      </c>
      <c r="D39" s="3">
        <v>2</v>
      </c>
    </row>
    <row r="40" spans="1:4" ht="15.75">
      <c r="A40" s="11" t="s">
        <v>80</v>
      </c>
      <c r="B40" s="1">
        <v>21.401731601731601</v>
      </c>
      <c r="C40" s="2">
        <v>3</v>
      </c>
      <c r="D40" s="3">
        <v>2</v>
      </c>
    </row>
    <row r="41" spans="1:4" ht="15.75">
      <c r="A41" s="10" t="s">
        <v>47</v>
      </c>
      <c r="B41" s="1">
        <v>12.0588744588745</v>
      </c>
      <c r="C41" s="2">
        <v>1</v>
      </c>
      <c r="D41" s="3">
        <v>2</v>
      </c>
    </row>
    <row r="42" spans="1:4" ht="15.75">
      <c r="A42" s="12" t="s">
        <v>69</v>
      </c>
      <c r="B42" s="1">
        <v>18.287445887445902</v>
      </c>
      <c r="C42" s="2">
        <v>2</v>
      </c>
      <c r="D42" s="3">
        <v>2</v>
      </c>
    </row>
    <row r="43" spans="1:4" ht="15.75">
      <c r="A43" s="10" t="s">
        <v>12</v>
      </c>
      <c r="B43" s="1">
        <v>21</v>
      </c>
      <c r="C43" s="2">
        <v>3</v>
      </c>
      <c r="D43" s="3">
        <v>5</v>
      </c>
    </row>
    <row r="44" spans="1:4" ht="15.75">
      <c r="A44" s="11" t="s">
        <v>74</v>
      </c>
      <c r="B44" s="1">
        <v>19.7030303030303</v>
      </c>
      <c r="C44" s="2">
        <v>1</v>
      </c>
      <c r="D44" s="3">
        <v>2</v>
      </c>
    </row>
    <row r="45" spans="1:4" ht="15.75">
      <c r="A45" s="10" t="s">
        <v>44</v>
      </c>
      <c r="B45" s="1">
        <v>11.2095238095238</v>
      </c>
      <c r="C45" s="2">
        <v>2</v>
      </c>
      <c r="D45" s="3">
        <v>2</v>
      </c>
    </row>
    <row r="46" spans="1:4" ht="15.75">
      <c r="A46" s="10" t="s">
        <v>52</v>
      </c>
      <c r="B46" s="1">
        <v>13.4744588744589</v>
      </c>
      <c r="C46" s="2">
        <v>3</v>
      </c>
      <c r="D46" s="3">
        <v>2</v>
      </c>
    </row>
    <row r="47" spans="1:4" ht="15.75">
      <c r="A47" s="10" t="s">
        <v>48</v>
      </c>
      <c r="B47" s="1">
        <v>12.341991341991299</v>
      </c>
      <c r="C47" s="2">
        <v>1</v>
      </c>
      <c r="D47" s="3">
        <v>2</v>
      </c>
    </row>
    <row r="48" spans="1:4" ht="15.75">
      <c r="A48" s="10" t="s">
        <v>9</v>
      </c>
      <c r="B48" s="1">
        <v>1</v>
      </c>
      <c r="C48" s="2">
        <v>2</v>
      </c>
      <c r="D48" s="3">
        <v>5</v>
      </c>
    </row>
    <row r="49" spans="1:4" ht="15.75">
      <c r="A49" s="10" t="s">
        <v>8</v>
      </c>
      <c r="B49" s="1">
        <v>3</v>
      </c>
      <c r="C49" s="2">
        <v>3</v>
      </c>
      <c r="D49" s="3">
        <v>5</v>
      </c>
    </row>
    <row r="50" spans="1:4" ht="15.75">
      <c r="A50" s="10" t="s">
        <v>7</v>
      </c>
      <c r="B50" s="1">
        <v>21</v>
      </c>
      <c r="C50" s="2">
        <v>1</v>
      </c>
      <c r="D50" s="3">
        <v>5</v>
      </c>
    </row>
    <row r="51" spans="1:4" ht="15.75">
      <c r="A51" s="10" t="s">
        <v>49</v>
      </c>
      <c r="B51" s="1">
        <v>12.6251082251082</v>
      </c>
      <c r="C51" s="2">
        <v>2</v>
      </c>
      <c r="D51" s="3">
        <v>2</v>
      </c>
    </row>
    <row r="52" spans="1:4" ht="15.75">
      <c r="A52" s="11" t="s">
        <v>82</v>
      </c>
      <c r="B52" s="1">
        <v>21.967965367965402</v>
      </c>
      <c r="C52" s="2">
        <v>3</v>
      </c>
      <c r="D52" s="3">
        <v>2</v>
      </c>
    </row>
    <row r="53" spans="1:4" ht="15.75">
      <c r="A53" s="12" t="s">
        <v>65</v>
      </c>
      <c r="B53" s="1">
        <v>17.1549783549784</v>
      </c>
      <c r="C53" s="2">
        <v>1</v>
      </c>
      <c r="D53" s="3">
        <v>2</v>
      </c>
    </row>
    <row r="54" spans="1:4" ht="15.75">
      <c r="A54" s="12" t="s">
        <v>53</v>
      </c>
      <c r="B54" s="1">
        <v>13.7575757575758</v>
      </c>
      <c r="C54" s="2">
        <v>2</v>
      </c>
      <c r="D54" s="3">
        <v>2</v>
      </c>
    </row>
    <row r="55" spans="1:4" ht="15.75">
      <c r="A55" s="10" t="s">
        <v>58</v>
      </c>
      <c r="B55" s="1">
        <v>15.1731601731602</v>
      </c>
      <c r="C55" s="2">
        <v>2</v>
      </c>
      <c r="D55" s="3">
        <v>2</v>
      </c>
    </row>
    <row r="56" spans="1:4" ht="15.75">
      <c r="A56" s="10" t="s">
        <v>59</v>
      </c>
      <c r="B56" s="1">
        <v>15.4562770562771</v>
      </c>
      <c r="C56" s="2">
        <v>3</v>
      </c>
      <c r="D56" s="3">
        <v>2</v>
      </c>
    </row>
    <row r="57" spans="1:4" ht="15.75">
      <c r="A57" s="10" t="s">
        <v>51</v>
      </c>
      <c r="B57" s="1">
        <v>13.191341991342</v>
      </c>
      <c r="C57" s="2">
        <v>1</v>
      </c>
      <c r="D57" s="3">
        <v>2</v>
      </c>
    </row>
    <row r="58" spans="1:4" ht="15.75">
      <c r="A58" s="11" t="s">
        <v>83</v>
      </c>
      <c r="B58" s="1">
        <v>22.251082251082298</v>
      </c>
      <c r="C58" s="2">
        <v>2</v>
      </c>
      <c r="D58" s="3">
        <v>2</v>
      </c>
    </row>
    <row r="59" spans="1:4" ht="15.75">
      <c r="A59" s="12" t="s">
        <v>68</v>
      </c>
      <c r="B59" s="1">
        <v>18.004329004329001</v>
      </c>
      <c r="C59" s="2">
        <v>3</v>
      </c>
      <c r="D59" s="3">
        <v>2</v>
      </c>
    </row>
    <row r="60" spans="1:4" ht="15.75">
      <c r="A60" s="12" t="s">
        <v>66</v>
      </c>
      <c r="B60" s="1">
        <v>17.4380952380953</v>
      </c>
      <c r="C60" s="2">
        <v>1</v>
      </c>
      <c r="D60" s="3">
        <v>2</v>
      </c>
    </row>
    <row r="61" spans="1:4" ht="15.75">
      <c r="A61" s="10" t="s">
        <v>45</v>
      </c>
      <c r="B61" s="1">
        <v>11.4926406926407</v>
      </c>
      <c r="C61" s="2">
        <v>2</v>
      </c>
      <c r="D61" s="3">
        <v>2</v>
      </c>
    </row>
    <row r="62" spans="1:4" ht="15.75">
      <c r="A62" s="10" t="s">
        <v>13</v>
      </c>
      <c r="B62" s="1">
        <v>2</v>
      </c>
      <c r="C62" s="2">
        <v>3</v>
      </c>
      <c r="D62" s="3">
        <v>5</v>
      </c>
    </row>
    <row r="63" spans="1:4">
      <c r="C63" s="2"/>
    </row>
    <row r="64" spans="1:4">
      <c r="C64" s="2"/>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BCDA1-D63F-438A-89C0-915C83B58027}">
  <sheetPr codeName="Sheet3">
    <tabColor rgb="FFFF0000"/>
  </sheetPr>
  <dimension ref="A1:F78"/>
  <sheetViews>
    <sheetView topLeftCell="A48" workbookViewId="0">
      <selection activeCell="M61" sqref="M61"/>
    </sheetView>
  </sheetViews>
  <sheetFormatPr defaultRowHeight="15"/>
  <cols>
    <col min="1" max="1" width="38.42578125" style="17" bestFit="1" customWidth="1"/>
    <col min="2" max="2" width="17.140625" style="17" customWidth="1"/>
    <col min="3" max="4" width="17.140625" style="20" customWidth="1"/>
    <col min="5" max="6" width="16.5703125" style="20" customWidth="1"/>
    <col min="7" max="7" width="16.5703125" customWidth="1"/>
  </cols>
  <sheetData>
    <row r="1" spans="1:6">
      <c r="A1" s="18" t="s">
        <v>18</v>
      </c>
      <c r="B1" s="18" t="s">
        <v>19</v>
      </c>
      <c r="C1" s="18" t="s">
        <v>20</v>
      </c>
      <c r="D1" s="18" t="s">
        <v>21</v>
      </c>
      <c r="E1" s="18" t="s">
        <v>23</v>
      </c>
      <c r="F1" s="18" t="s">
        <v>24</v>
      </c>
    </row>
    <row r="2" spans="1:6">
      <c r="A2" s="16" t="s">
        <v>40</v>
      </c>
      <c r="B2" s="17" t="s">
        <v>22</v>
      </c>
      <c r="C2" s="19">
        <f ca="1">TODAY()</f>
        <v>45005</v>
      </c>
      <c r="D2" s="20">
        <v>32</v>
      </c>
      <c r="E2" s="21">
        <f>_xlfn.XLOOKUP(A2,'Product Master'!$A:$A,'Product Master'!$B:$B,,0)</f>
        <v>2</v>
      </c>
      <c r="F2" s="21">
        <f>E2*D2</f>
        <v>64</v>
      </c>
    </row>
    <row r="3" spans="1:6">
      <c r="A3" s="16" t="s">
        <v>0</v>
      </c>
      <c r="B3" s="17" t="s">
        <v>22</v>
      </c>
      <c r="C3" s="19">
        <f t="shared" ref="C3:C62" ca="1" si="0">TODAY()</f>
        <v>45005</v>
      </c>
      <c r="D3" s="20">
        <v>35</v>
      </c>
      <c r="E3" s="21">
        <f>_xlfn.XLOOKUP(A3,'Product Master'!$A:$A,'Product Master'!$B:$B,,0)</f>
        <v>3</v>
      </c>
      <c r="F3" s="21">
        <f t="shared" ref="F3:F66" si="1">E3*D3</f>
        <v>105</v>
      </c>
    </row>
    <row r="4" spans="1:6">
      <c r="A4" s="16" t="s">
        <v>1</v>
      </c>
      <c r="B4" s="17" t="s">
        <v>22</v>
      </c>
      <c r="C4" s="19">
        <f t="shared" ca="1" si="0"/>
        <v>45005</v>
      </c>
      <c r="D4" s="20">
        <v>61</v>
      </c>
      <c r="E4" s="21">
        <f>_xlfn.XLOOKUP(A4,'Product Master'!$A:$A,'Product Master'!$B:$B,,0)</f>
        <v>4</v>
      </c>
      <c r="F4" s="21">
        <f t="shared" si="1"/>
        <v>244</v>
      </c>
    </row>
    <row r="5" spans="1:6">
      <c r="A5" s="16" t="s">
        <v>2</v>
      </c>
      <c r="B5" s="17" t="s">
        <v>22</v>
      </c>
      <c r="C5" s="19">
        <f t="shared" ca="1" si="0"/>
        <v>45005</v>
      </c>
      <c r="D5" s="20">
        <v>6</v>
      </c>
      <c r="E5" s="21">
        <f>_xlfn.XLOOKUP(A5,'Product Master'!$A:$A,'Product Master'!$B:$B,,0)</f>
        <v>2</v>
      </c>
      <c r="F5" s="21">
        <f t="shared" si="1"/>
        <v>12</v>
      </c>
    </row>
    <row r="6" spans="1:6">
      <c r="A6" s="16" t="s">
        <v>3</v>
      </c>
      <c r="B6" s="17" t="s">
        <v>22</v>
      </c>
      <c r="C6" s="19">
        <f t="shared" ca="1" si="0"/>
        <v>45005</v>
      </c>
      <c r="D6" s="20">
        <v>224</v>
      </c>
      <c r="E6" s="21">
        <f>_xlfn.XLOOKUP(A6,'Product Master'!$A:$A,'Product Master'!$B:$B,,0)</f>
        <v>3</v>
      </c>
      <c r="F6" s="21">
        <f t="shared" si="1"/>
        <v>672</v>
      </c>
    </row>
    <row r="7" spans="1:6">
      <c r="A7" s="16" t="s">
        <v>4</v>
      </c>
      <c r="B7" s="17" t="s">
        <v>22</v>
      </c>
      <c r="C7" s="19">
        <f t="shared" ca="1" si="0"/>
        <v>45005</v>
      </c>
      <c r="D7" s="20">
        <v>32</v>
      </c>
      <c r="E7" s="21">
        <f>_xlfn.XLOOKUP(A7,'Product Master'!$A:$A,'Product Master'!$B:$B,,0)</f>
        <v>2</v>
      </c>
      <c r="F7" s="21">
        <f t="shared" si="1"/>
        <v>64</v>
      </c>
    </row>
    <row r="8" spans="1:6">
      <c r="A8" s="16" t="s">
        <v>5</v>
      </c>
      <c r="B8" s="17" t="s">
        <v>22</v>
      </c>
      <c r="C8" s="19">
        <f t="shared" ca="1" si="0"/>
        <v>45005</v>
      </c>
      <c r="D8" s="20">
        <v>165</v>
      </c>
      <c r="E8" s="21">
        <f>_xlfn.XLOOKUP(A8,'Product Master'!$A:$A,'Product Master'!$B:$B,,0)</f>
        <v>33</v>
      </c>
      <c r="F8" s="21">
        <f t="shared" si="1"/>
        <v>5445</v>
      </c>
    </row>
    <row r="9" spans="1:6">
      <c r="A9" s="16" t="s">
        <v>6</v>
      </c>
      <c r="B9" s="17" t="s">
        <v>22</v>
      </c>
      <c r="C9" s="19">
        <f t="shared" ca="1" si="0"/>
        <v>45005</v>
      </c>
      <c r="D9" s="20">
        <v>16</v>
      </c>
      <c r="E9" s="21">
        <f>_xlfn.XLOOKUP(A9,'Product Master'!$A:$A,'Product Master'!$B:$B,,0)</f>
        <v>1</v>
      </c>
      <c r="F9" s="21">
        <f t="shared" si="1"/>
        <v>16</v>
      </c>
    </row>
    <row r="10" spans="1:6">
      <c r="A10" s="16" t="s">
        <v>7</v>
      </c>
      <c r="B10" s="17" t="s">
        <v>22</v>
      </c>
      <c r="C10" s="19">
        <f t="shared" ca="1" si="0"/>
        <v>45005</v>
      </c>
      <c r="D10" s="20">
        <v>1</v>
      </c>
      <c r="E10" s="21">
        <f>_xlfn.XLOOKUP(A10,'Product Master'!$A:$A,'Product Master'!$B:$B,,0)</f>
        <v>21</v>
      </c>
      <c r="F10" s="21">
        <f t="shared" si="1"/>
        <v>21</v>
      </c>
    </row>
    <row r="11" spans="1:6">
      <c r="A11" s="16" t="s">
        <v>8</v>
      </c>
      <c r="B11" s="17" t="s">
        <v>22</v>
      </c>
      <c r="C11" s="19">
        <f t="shared" ca="1" si="0"/>
        <v>45005</v>
      </c>
      <c r="D11" s="20">
        <v>3</v>
      </c>
      <c r="E11" s="21">
        <f>_xlfn.XLOOKUP(A11,'Product Master'!$A:$A,'Product Master'!$B:$B,,0)</f>
        <v>3</v>
      </c>
      <c r="F11" s="21">
        <f t="shared" si="1"/>
        <v>9</v>
      </c>
    </row>
    <row r="12" spans="1:6">
      <c r="A12" s="16" t="s">
        <v>9</v>
      </c>
      <c r="B12" s="17" t="s">
        <v>22</v>
      </c>
      <c r="C12" s="19">
        <f t="shared" ca="1" si="0"/>
        <v>45005</v>
      </c>
      <c r="D12" s="20">
        <v>51</v>
      </c>
      <c r="E12" s="21">
        <f>_xlfn.XLOOKUP(A12,'Product Master'!$A:$A,'Product Master'!$B:$B,,0)</f>
        <v>1</v>
      </c>
      <c r="F12" s="21">
        <f t="shared" si="1"/>
        <v>51</v>
      </c>
    </row>
    <row r="13" spans="1:6">
      <c r="A13" s="16" t="s">
        <v>41</v>
      </c>
      <c r="B13" s="17" t="s">
        <v>22</v>
      </c>
      <c r="C13" s="19">
        <f t="shared" ca="1" si="0"/>
        <v>45005</v>
      </c>
      <c r="D13" s="20">
        <v>635</v>
      </c>
      <c r="E13" s="21">
        <f>_xlfn.XLOOKUP(A13,'Product Master'!$A:$A,'Product Master'!$B:$B,,0)</f>
        <v>21</v>
      </c>
      <c r="F13" s="21">
        <f t="shared" si="1"/>
        <v>13335</v>
      </c>
    </row>
    <row r="14" spans="1:6">
      <c r="A14" s="16" t="s">
        <v>10</v>
      </c>
      <c r="B14" s="17" t="s">
        <v>22</v>
      </c>
      <c r="C14" s="19">
        <f t="shared" ca="1" si="0"/>
        <v>45005</v>
      </c>
      <c r="D14" s="20">
        <v>13</v>
      </c>
      <c r="E14" s="21">
        <f>_xlfn.XLOOKUP(A14,'Product Master'!$A:$A,'Product Master'!$B:$B,,0)</f>
        <v>2</v>
      </c>
      <c r="F14" s="21">
        <f t="shared" si="1"/>
        <v>26</v>
      </c>
    </row>
    <row r="15" spans="1:6">
      <c r="A15" s="16" t="s">
        <v>11</v>
      </c>
      <c r="B15" s="17" t="s">
        <v>22</v>
      </c>
      <c r="C15" s="19">
        <f t="shared" ca="1" si="0"/>
        <v>45005</v>
      </c>
      <c r="D15" s="20">
        <v>513</v>
      </c>
      <c r="E15" s="21">
        <f>_xlfn.XLOOKUP(A15,'Product Master'!$A:$A,'Product Master'!$B:$B,,0)</f>
        <v>1</v>
      </c>
      <c r="F15" s="21">
        <f t="shared" si="1"/>
        <v>513</v>
      </c>
    </row>
    <row r="16" spans="1:6">
      <c r="A16" s="16" t="s">
        <v>12</v>
      </c>
      <c r="B16" s="17" t="s">
        <v>22</v>
      </c>
      <c r="C16" s="19">
        <f t="shared" ca="1" si="0"/>
        <v>45005</v>
      </c>
      <c r="D16" s="20">
        <v>1</v>
      </c>
      <c r="E16" s="21">
        <f>_xlfn.XLOOKUP(A16,'Product Master'!$A:$A,'Product Master'!$B:$B,,0)</f>
        <v>21</v>
      </c>
      <c r="F16" s="21">
        <f t="shared" si="1"/>
        <v>21</v>
      </c>
    </row>
    <row r="17" spans="1:6">
      <c r="A17" s="16" t="s">
        <v>13</v>
      </c>
      <c r="B17" s="17" t="s">
        <v>22</v>
      </c>
      <c r="C17" s="19">
        <f t="shared" ca="1" si="0"/>
        <v>45005</v>
      </c>
      <c r="D17" s="20">
        <v>3</v>
      </c>
      <c r="E17" s="21">
        <f>_xlfn.XLOOKUP(A17,'Product Master'!$A:$A,'Product Master'!$B:$B,,0)</f>
        <v>2</v>
      </c>
      <c r="F17" s="21">
        <f t="shared" si="1"/>
        <v>6</v>
      </c>
    </row>
    <row r="18" spans="1:6">
      <c r="A18" s="16" t="s">
        <v>14</v>
      </c>
      <c r="B18" s="17" t="s">
        <v>22</v>
      </c>
      <c r="C18" s="19">
        <f t="shared" ca="1" si="0"/>
        <v>45005</v>
      </c>
      <c r="D18" s="20">
        <v>12</v>
      </c>
      <c r="E18" s="21">
        <f>_xlfn.XLOOKUP(A18,'Product Master'!$A:$A,'Product Master'!$B:$B,,0)</f>
        <v>1</v>
      </c>
      <c r="F18" s="21">
        <f t="shared" si="1"/>
        <v>12</v>
      </c>
    </row>
    <row r="19" spans="1:6">
      <c r="A19" s="16" t="s">
        <v>15</v>
      </c>
      <c r="B19" s="17" t="s">
        <v>22</v>
      </c>
      <c r="C19" s="19">
        <f t="shared" ca="1" si="0"/>
        <v>45005</v>
      </c>
      <c r="D19" s="20">
        <v>12</v>
      </c>
      <c r="E19" s="21">
        <f>_xlfn.XLOOKUP(A19,'Product Master'!$A:$A,'Product Master'!$B:$B,,0)</f>
        <v>21</v>
      </c>
      <c r="F19" s="21">
        <f t="shared" si="1"/>
        <v>252</v>
      </c>
    </row>
    <row r="20" spans="1:6">
      <c r="A20" s="16" t="s">
        <v>16</v>
      </c>
      <c r="B20" s="17" t="s">
        <v>22</v>
      </c>
      <c r="C20" s="19">
        <f t="shared" ca="1" si="0"/>
        <v>45005</v>
      </c>
      <c r="D20" s="20">
        <v>32</v>
      </c>
      <c r="E20" s="21">
        <f>_xlfn.XLOOKUP(A20,'Product Master'!$A:$A,'Product Master'!$B:$B,,0)</f>
        <v>2</v>
      </c>
      <c r="F20" s="21">
        <f t="shared" si="1"/>
        <v>64</v>
      </c>
    </row>
    <row r="21" spans="1:6">
      <c r="A21" s="16" t="s">
        <v>42</v>
      </c>
      <c r="B21" s="17" t="s">
        <v>22</v>
      </c>
      <c r="C21" s="19">
        <f t="shared" ca="1" si="0"/>
        <v>45005</v>
      </c>
      <c r="D21" s="20">
        <v>35</v>
      </c>
      <c r="E21" s="21">
        <f>_xlfn.XLOOKUP(A21,'Product Master'!$A:$A,'Product Master'!$B:$B,,0)</f>
        <v>12</v>
      </c>
      <c r="F21" s="21">
        <f t="shared" si="1"/>
        <v>420</v>
      </c>
    </row>
    <row r="22" spans="1:6">
      <c r="A22" s="16" t="s">
        <v>43</v>
      </c>
      <c r="B22" s="17" t="s">
        <v>22</v>
      </c>
      <c r="C22" s="19">
        <f t="shared" ca="1" si="0"/>
        <v>45005</v>
      </c>
      <c r="D22" s="20">
        <v>61</v>
      </c>
      <c r="E22" s="21">
        <f>_xlfn.XLOOKUP(A22,'Product Master'!$A:$A,'Product Master'!$B:$B,,0)</f>
        <v>12</v>
      </c>
      <c r="F22" s="21">
        <f t="shared" si="1"/>
        <v>732</v>
      </c>
    </row>
    <row r="23" spans="1:6">
      <c r="A23" s="16" t="s">
        <v>44</v>
      </c>
      <c r="B23" s="17" t="s">
        <v>22</v>
      </c>
      <c r="C23" s="19">
        <f t="shared" ca="1" si="0"/>
        <v>45005</v>
      </c>
      <c r="D23" s="20">
        <v>6</v>
      </c>
      <c r="E23" s="21">
        <f>_xlfn.XLOOKUP(A23,'Product Master'!$A:$A,'Product Master'!$B:$B,,0)</f>
        <v>11.2095238095238</v>
      </c>
      <c r="F23" s="21">
        <f t="shared" si="1"/>
        <v>67.257142857142796</v>
      </c>
    </row>
    <row r="24" spans="1:6">
      <c r="A24" s="16" t="s">
        <v>45</v>
      </c>
      <c r="B24" s="17" t="s">
        <v>22</v>
      </c>
      <c r="C24" s="19">
        <f t="shared" ca="1" si="0"/>
        <v>45005</v>
      </c>
      <c r="D24" s="20">
        <v>224</v>
      </c>
      <c r="E24" s="21">
        <f>_xlfn.XLOOKUP(A24,'Product Master'!$A:$A,'Product Master'!$B:$B,,0)</f>
        <v>11.4926406926407</v>
      </c>
      <c r="F24" s="21">
        <f t="shared" si="1"/>
        <v>2574.3515151515167</v>
      </c>
    </row>
    <row r="25" spans="1:6">
      <c r="A25" s="16" t="s">
        <v>46</v>
      </c>
      <c r="B25" s="17" t="s">
        <v>22</v>
      </c>
      <c r="C25" s="19">
        <f t="shared" ca="1" si="0"/>
        <v>45005</v>
      </c>
      <c r="D25" s="20">
        <v>32</v>
      </c>
      <c r="E25" s="21">
        <f>_xlfn.XLOOKUP(A25,'Product Master'!$A:$A,'Product Master'!$B:$B,,0)</f>
        <v>11.7757575757576</v>
      </c>
      <c r="F25" s="21">
        <f t="shared" si="1"/>
        <v>376.82424242424321</v>
      </c>
    </row>
    <row r="26" spans="1:6">
      <c r="A26" s="16" t="s">
        <v>47</v>
      </c>
      <c r="B26" s="17" t="s">
        <v>22</v>
      </c>
      <c r="C26" s="19">
        <f t="shared" ca="1" si="0"/>
        <v>45005</v>
      </c>
      <c r="D26" s="20">
        <v>165</v>
      </c>
      <c r="E26" s="21">
        <f>_xlfn.XLOOKUP(A26,'Product Master'!$A:$A,'Product Master'!$B:$B,,0)</f>
        <v>12.0588744588745</v>
      </c>
      <c r="F26" s="21">
        <f t="shared" si="1"/>
        <v>1989.7142857142926</v>
      </c>
    </row>
    <row r="27" spans="1:6">
      <c r="A27" s="16" t="s">
        <v>48</v>
      </c>
      <c r="B27" s="17" t="s">
        <v>22</v>
      </c>
      <c r="C27" s="19">
        <f t="shared" ca="1" si="0"/>
        <v>45005</v>
      </c>
      <c r="D27" s="20">
        <v>16</v>
      </c>
      <c r="E27" s="21">
        <f>_xlfn.XLOOKUP(A27,'Product Master'!$A:$A,'Product Master'!$B:$B,,0)</f>
        <v>12.341991341991299</v>
      </c>
      <c r="F27" s="21">
        <f t="shared" si="1"/>
        <v>197.47186147186079</v>
      </c>
    </row>
    <row r="28" spans="1:6">
      <c r="A28" s="16" t="s">
        <v>49</v>
      </c>
      <c r="B28" s="17" t="s">
        <v>22</v>
      </c>
      <c r="C28" s="19">
        <f t="shared" ca="1" si="0"/>
        <v>45005</v>
      </c>
      <c r="D28" s="20">
        <v>1</v>
      </c>
      <c r="E28" s="21">
        <f>_xlfn.XLOOKUP(A28,'Product Master'!$A:$A,'Product Master'!$B:$B,,0)</f>
        <v>12.6251082251082</v>
      </c>
      <c r="F28" s="21">
        <f t="shared" si="1"/>
        <v>12.6251082251082</v>
      </c>
    </row>
    <row r="29" spans="1:6">
      <c r="A29" s="16" t="s">
        <v>50</v>
      </c>
      <c r="B29" s="17" t="s">
        <v>22</v>
      </c>
      <c r="C29" s="19">
        <f t="shared" ca="1" si="0"/>
        <v>45005</v>
      </c>
      <c r="D29" s="20">
        <v>3</v>
      </c>
      <c r="E29" s="21">
        <f>_xlfn.XLOOKUP(A29,'Product Master'!$A:$A,'Product Master'!$B:$B,,0)</f>
        <v>12.9082251082251</v>
      </c>
      <c r="F29" s="21">
        <f t="shared" si="1"/>
        <v>38.724675324675303</v>
      </c>
    </row>
    <row r="30" spans="1:6">
      <c r="A30" s="16" t="s">
        <v>51</v>
      </c>
      <c r="B30" s="17" t="s">
        <v>22</v>
      </c>
      <c r="C30" s="19">
        <f t="shared" ca="1" si="0"/>
        <v>45005</v>
      </c>
      <c r="D30" s="20">
        <v>51</v>
      </c>
      <c r="E30" s="21">
        <f>_xlfn.XLOOKUP(A30,'Product Master'!$A:$A,'Product Master'!$B:$B,,0)</f>
        <v>13.191341991342</v>
      </c>
      <c r="F30" s="21">
        <f t="shared" si="1"/>
        <v>672.75844155844197</v>
      </c>
    </row>
    <row r="31" spans="1:6">
      <c r="A31" s="16" t="s">
        <v>52</v>
      </c>
      <c r="B31" s="17" t="s">
        <v>22</v>
      </c>
      <c r="C31" s="19">
        <f t="shared" ca="1" si="0"/>
        <v>45005</v>
      </c>
      <c r="D31" s="20">
        <v>635</v>
      </c>
      <c r="E31" s="21">
        <f>_xlfn.XLOOKUP(A31,'Product Master'!$A:$A,'Product Master'!$B:$B,,0)</f>
        <v>13.4744588744589</v>
      </c>
      <c r="F31" s="21">
        <f t="shared" si="1"/>
        <v>8556.2813852814015</v>
      </c>
    </row>
    <row r="32" spans="1:6">
      <c r="A32" s="16" t="s">
        <v>53</v>
      </c>
      <c r="B32" s="17" t="s">
        <v>22</v>
      </c>
      <c r="C32" s="19">
        <f t="shared" ca="1" si="0"/>
        <v>45005</v>
      </c>
      <c r="D32" s="20">
        <v>13</v>
      </c>
      <c r="E32" s="21">
        <f>_xlfn.XLOOKUP(A32,'Product Master'!$A:$A,'Product Master'!$B:$B,,0)</f>
        <v>13.7575757575758</v>
      </c>
      <c r="F32" s="21">
        <f t="shared" si="1"/>
        <v>178.84848484848541</v>
      </c>
    </row>
    <row r="33" spans="1:6">
      <c r="A33" s="16" t="s">
        <v>54</v>
      </c>
      <c r="B33" s="17" t="s">
        <v>22</v>
      </c>
      <c r="C33" s="19">
        <f t="shared" ca="1" si="0"/>
        <v>45005</v>
      </c>
      <c r="D33" s="20">
        <v>513</v>
      </c>
      <c r="E33" s="21">
        <f>_xlfn.XLOOKUP(A33,'Product Master'!$A:$A,'Product Master'!$B:$B,,0)</f>
        <v>14.040692640692599</v>
      </c>
      <c r="F33" s="21">
        <f t="shared" si="1"/>
        <v>7202.8753246753031</v>
      </c>
    </row>
    <row r="34" spans="1:6">
      <c r="A34" s="16" t="s">
        <v>55</v>
      </c>
      <c r="B34" s="17" t="s">
        <v>22</v>
      </c>
      <c r="C34" s="19">
        <f t="shared" ca="1" si="0"/>
        <v>45005</v>
      </c>
      <c r="D34" s="20">
        <v>1</v>
      </c>
      <c r="E34" s="21">
        <f>_xlfn.XLOOKUP(A34,'Product Master'!$A:$A,'Product Master'!$B:$B,,0)</f>
        <v>14.3238095238095</v>
      </c>
      <c r="F34" s="21">
        <f t="shared" si="1"/>
        <v>14.3238095238095</v>
      </c>
    </row>
    <row r="35" spans="1:6">
      <c r="A35" s="16" t="s">
        <v>56</v>
      </c>
      <c r="B35" s="17" t="s">
        <v>22</v>
      </c>
      <c r="C35" s="19">
        <f t="shared" ca="1" si="0"/>
        <v>45005</v>
      </c>
      <c r="D35" s="20">
        <v>3</v>
      </c>
      <c r="E35" s="21">
        <f>_xlfn.XLOOKUP(A35,'Product Master'!$A:$A,'Product Master'!$B:$B,,0)</f>
        <v>14.6069264069264</v>
      </c>
      <c r="F35" s="21">
        <f t="shared" si="1"/>
        <v>43.820779220779201</v>
      </c>
    </row>
    <row r="36" spans="1:6">
      <c r="A36" s="16" t="s">
        <v>57</v>
      </c>
      <c r="B36" s="17" t="s">
        <v>22</v>
      </c>
      <c r="C36" s="19">
        <f t="shared" ca="1" si="0"/>
        <v>45005</v>
      </c>
      <c r="D36" s="20">
        <v>12</v>
      </c>
      <c r="E36" s="21">
        <f>_xlfn.XLOOKUP(A36,'Product Master'!$A:$A,'Product Master'!$B:$B,,0)</f>
        <v>14.8900432900433</v>
      </c>
      <c r="F36" s="21">
        <f t="shared" si="1"/>
        <v>178.68051948051959</v>
      </c>
    </row>
    <row r="37" spans="1:6">
      <c r="A37" s="16" t="s">
        <v>58</v>
      </c>
      <c r="B37" s="17" t="s">
        <v>22</v>
      </c>
      <c r="C37" s="19">
        <f t="shared" ca="1" si="0"/>
        <v>45005</v>
      </c>
      <c r="D37" s="20">
        <v>12</v>
      </c>
      <c r="E37" s="21">
        <f>_xlfn.XLOOKUP(A37,'Product Master'!$A:$A,'Product Master'!$B:$B,,0)</f>
        <v>15.1731601731602</v>
      </c>
      <c r="F37" s="21">
        <f t="shared" si="1"/>
        <v>182.07792207792241</v>
      </c>
    </row>
    <row r="38" spans="1:6">
      <c r="A38" s="16" t="s">
        <v>59</v>
      </c>
      <c r="B38" s="17" t="s">
        <v>22</v>
      </c>
      <c r="C38" s="19">
        <f t="shared" ca="1" si="0"/>
        <v>45005</v>
      </c>
      <c r="D38" s="20">
        <v>32</v>
      </c>
      <c r="E38" s="21">
        <f>_xlfn.XLOOKUP(A38,'Product Master'!$A:$A,'Product Master'!$B:$B,,0)</f>
        <v>15.4562770562771</v>
      </c>
      <c r="F38" s="21">
        <f t="shared" si="1"/>
        <v>494.60086580086721</v>
      </c>
    </row>
    <row r="39" spans="1:6">
      <c r="A39" s="16" t="s">
        <v>60</v>
      </c>
      <c r="B39" s="17" t="s">
        <v>22</v>
      </c>
      <c r="C39" s="19">
        <f t="shared" ca="1" si="0"/>
        <v>45005</v>
      </c>
      <c r="D39" s="20">
        <v>35</v>
      </c>
      <c r="E39" s="21">
        <f>_xlfn.XLOOKUP(A39,'Product Master'!$A:$A,'Product Master'!$B:$B,,0)</f>
        <v>15.739393939394001</v>
      </c>
      <c r="F39" s="21">
        <f t="shared" si="1"/>
        <v>550.87878787879004</v>
      </c>
    </row>
    <row r="40" spans="1:6">
      <c r="A40" s="16" t="s">
        <v>61</v>
      </c>
      <c r="B40" s="17" t="s">
        <v>22</v>
      </c>
      <c r="C40" s="19">
        <f t="shared" ca="1" si="0"/>
        <v>45005</v>
      </c>
      <c r="D40" s="20">
        <v>61</v>
      </c>
      <c r="E40" s="21">
        <f>_xlfn.XLOOKUP(A40,'Product Master'!$A:$A,'Product Master'!$B:$B,,0)</f>
        <v>16.022510822510899</v>
      </c>
      <c r="F40" s="21">
        <f t="shared" si="1"/>
        <v>977.37316017316482</v>
      </c>
    </row>
    <row r="41" spans="1:6">
      <c r="A41" s="16" t="s">
        <v>62</v>
      </c>
      <c r="B41" s="17" t="s">
        <v>22</v>
      </c>
      <c r="C41" s="19">
        <f t="shared" ca="1" si="0"/>
        <v>45005</v>
      </c>
      <c r="D41" s="20">
        <v>6</v>
      </c>
      <c r="E41" s="21">
        <f>_xlfn.XLOOKUP(A41,'Product Master'!$A:$A,'Product Master'!$B:$B,,0)</f>
        <v>16.3056277056277</v>
      </c>
      <c r="F41" s="21">
        <f t="shared" si="1"/>
        <v>97.833766233766198</v>
      </c>
    </row>
    <row r="42" spans="1:6">
      <c r="A42" s="16" t="s">
        <v>63</v>
      </c>
      <c r="B42" s="17" t="s">
        <v>22</v>
      </c>
      <c r="C42" s="19">
        <f t="shared" ca="1" si="0"/>
        <v>45005</v>
      </c>
      <c r="D42" s="20">
        <v>224</v>
      </c>
      <c r="E42" s="21">
        <f>_xlfn.XLOOKUP(A42,'Product Master'!$A:$A,'Product Master'!$B:$B,,0)</f>
        <v>16.5887445887446</v>
      </c>
      <c r="F42" s="21">
        <f t="shared" si="1"/>
        <v>3715.8787878787903</v>
      </c>
    </row>
    <row r="43" spans="1:6">
      <c r="A43" s="16" t="s">
        <v>64</v>
      </c>
      <c r="B43" s="17" t="s">
        <v>22</v>
      </c>
      <c r="C43" s="19">
        <f t="shared" ca="1" si="0"/>
        <v>45005</v>
      </c>
      <c r="D43" s="20">
        <v>32</v>
      </c>
      <c r="E43" s="21">
        <f>_xlfn.XLOOKUP(A43,'Product Master'!$A:$A,'Product Master'!$B:$B,,0)</f>
        <v>16.8718614718615</v>
      </c>
      <c r="F43" s="21">
        <f t="shared" si="1"/>
        <v>539.899567099568</v>
      </c>
    </row>
    <row r="44" spans="1:6">
      <c r="A44" s="16" t="s">
        <v>65</v>
      </c>
      <c r="B44" s="17" t="s">
        <v>22</v>
      </c>
      <c r="C44" s="19">
        <f t="shared" ca="1" si="0"/>
        <v>45005</v>
      </c>
      <c r="D44" s="20">
        <v>165</v>
      </c>
      <c r="E44" s="21">
        <f>_xlfn.XLOOKUP(A44,'Product Master'!$A:$A,'Product Master'!$B:$B,,0)</f>
        <v>17.1549783549784</v>
      </c>
      <c r="F44" s="21">
        <f t="shared" si="1"/>
        <v>2830.5714285714362</v>
      </c>
    </row>
    <row r="45" spans="1:6">
      <c r="A45" s="16" t="s">
        <v>66</v>
      </c>
      <c r="B45" s="17" t="s">
        <v>22</v>
      </c>
      <c r="C45" s="19">
        <f t="shared" ca="1" si="0"/>
        <v>45005</v>
      </c>
      <c r="D45" s="20">
        <v>16</v>
      </c>
      <c r="E45" s="21">
        <f>_xlfn.XLOOKUP(A45,'Product Master'!$A:$A,'Product Master'!$B:$B,,0)</f>
        <v>17.4380952380953</v>
      </c>
      <c r="F45" s="21">
        <f t="shared" si="1"/>
        <v>279.00952380952481</v>
      </c>
    </row>
    <row r="46" spans="1:6">
      <c r="A46" s="16" t="s">
        <v>67</v>
      </c>
      <c r="B46" s="17" t="s">
        <v>22</v>
      </c>
      <c r="C46" s="19">
        <f t="shared" ca="1" si="0"/>
        <v>45005</v>
      </c>
      <c r="D46" s="20">
        <v>1</v>
      </c>
      <c r="E46" s="21">
        <f>_xlfn.XLOOKUP(A46,'Product Master'!$A:$A,'Product Master'!$B:$B,,0)</f>
        <v>17.721212121212201</v>
      </c>
      <c r="F46" s="21">
        <f t="shared" si="1"/>
        <v>17.721212121212201</v>
      </c>
    </row>
    <row r="47" spans="1:6">
      <c r="A47" s="16" t="s">
        <v>68</v>
      </c>
      <c r="B47" s="17" t="s">
        <v>22</v>
      </c>
      <c r="C47" s="19">
        <f t="shared" ca="1" si="0"/>
        <v>45005</v>
      </c>
      <c r="D47" s="20">
        <v>3</v>
      </c>
      <c r="E47" s="21">
        <f>_xlfn.XLOOKUP(A47,'Product Master'!$A:$A,'Product Master'!$B:$B,,0)</f>
        <v>18.004329004329001</v>
      </c>
      <c r="F47" s="21">
        <f t="shared" si="1"/>
        <v>54.012987012987004</v>
      </c>
    </row>
    <row r="48" spans="1:6">
      <c r="A48" s="16" t="s">
        <v>69</v>
      </c>
      <c r="B48" s="17" t="s">
        <v>22</v>
      </c>
      <c r="C48" s="19">
        <f t="shared" ca="1" si="0"/>
        <v>45005</v>
      </c>
      <c r="D48" s="20">
        <v>51</v>
      </c>
      <c r="E48" s="21">
        <f>_xlfn.XLOOKUP(A48,'Product Master'!$A:$A,'Product Master'!$B:$B,,0)</f>
        <v>18.287445887445902</v>
      </c>
      <c r="F48" s="21">
        <f t="shared" si="1"/>
        <v>932.65974025974094</v>
      </c>
    </row>
    <row r="49" spans="1:6">
      <c r="A49" s="16" t="s">
        <v>70</v>
      </c>
      <c r="B49" s="17" t="s">
        <v>22</v>
      </c>
      <c r="C49" s="19">
        <f t="shared" ca="1" si="0"/>
        <v>45005</v>
      </c>
      <c r="D49" s="20">
        <v>635</v>
      </c>
      <c r="E49" s="21">
        <f>_xlfn.XLOOKUP(A49,'Product Master'!$A:$A,'Product Master'!$B:$B,,0)</f>
        <v>18.570562770562798</v>
      </c>
      <c r="F49" s="21">
        <f t="shared" si="1"/>
        <v>11792.307359307377</v>
      </c>
    </row>
    <row r="50" spans="1:6">
      <c r="A50" s="16" t="s">
        <v>71</v>
      </c>
      <c r="B50" s="17" t="s">
        <v>22</v>
      </c>
      <c r="C50" s="19">
        <f t="shared" ca="1" si="0"/>
        <v>45005</v>
      </c>
      <c r="D50" s="20">
        <v>13</v>
      </c>
      <c r="E50" s="21">
        <f>_xlfn.XLOOKUP(A50,'Product Master'!$A:$A,'Product Master'!$B:$B,,0)</f>
        <v>18.853679653679698</v>
      </c>
      <c r="F50" s="21">
        <f t="shared" si="1"/>
        <v>245.09783549783609</v>
      </c>
    </row>
    <row r="51" spans="1:6">
      <c r="A51" s="16" t="s">
        <v>72</v>
      </c>
      <c r="B51" s="17" t="s">
        <v>22</v>
      </c>
      <c r="C51" s="19">
        <f t="shared" ca="1" si="0"/>
        <v>45005</v>
      </c>
      <c r="D51" s="20">
        <v>513</v>
      </c>
      <c r="E51" s="21">
        <f>_xlfn.XLOOKUP(A51,'Product Master'!$A:$A,'Product Master'!$B:$B,,0)</f>
        <v>19.136796536796599</v>
      </c>
      <c r="F51" s="21">
        <f t="shared" si="1"/>
        <v>9817.1766233766557</v>
      </c>
    </row>
    <row r="52" spans="1:6">
      <c r="A52" s="16" t="s">
        <v>73</v>
      </c>
      <c r="B52" s="17" t="s">
        <v>22</v>
      </c>
      <c r="C52" s="19">
        <f t="shared" ca="1" si="0"/>
        <v>45005</v>
      </c>
      <c r="D52" s="20">
        <v>1</v>
      </c>
      <c r="E52" s="21">
        <f>_xlfn.XLOOKUP(A52,'Product Master'!$A:$A,'Product Master'!$B:$B,,0)</f>
        <v>19.419913419913499</v>
      </c>
      <c r="F52" s="21">
        <f t="shared" si="1"/>
        <v>19.419913419913499</v>
      </c>
    </row>
    <row r="53" spans="1:6">
      <c r="A53" s="16" t="s">
        <v>74</v>
      </c>
      <c r="B53" s="17" t="s">
        <v>22</v>
      </c>
      <c r="C53" s="19">
        <f t="shared" ca="1" si="0"/>
        <v>45005</v>
      </c>
      <c r="D53" s="20">
        <v>3</v>
      </c>
      <c r="E53" s="21">
        <f>_xlfn.XLOOKUP(A53,'Product Master'!$A:$A,'Product Master'!$B:$B,,0)</f>
        <v>19.7030303030303</v>
      </c>
      <c r="F53" s="21">
        <f t="shared" si="1"/>
        <v>59.109090909090895</v>
      </c>
    </row>
    <row r="54" spans="1:6">
      <c r="A54" s="16" t="s">
        <v>75</v>
      </c>
      <c r="B54" s="17" t="s">
        <v>22</v>
      </c>
      <c r="C54" s="19">
        <f t="shared" ca="1" si="0"/>
        <v>45005</v>
      </c>
      <c r="D54" s="20">
        <v>12</v>
      </c>
      <c r="E54" s="21">
        <f>_xlfn.XLOOKUP(A54,'Product Master'!$A:$A,'Product Master'!$B:$B,,0)</f>
        <v>19.9861471861472</v>
      </c>
      <c r="F54" s="21">
        <f t="shared" si="1"/>
        <v>239.8337662337664</v>
      </c>
    </row>
    <row r="55" spans="1:6">
      <c r="A55" s="16" t="s">
        <v>76</v>
      </c>
      <c r="B55" s="17" t="s">
        <v>22</v>
      </c>
      <c r="C55" s="19">
        <f t="shared" ca="1" si="0"/>
        <v>45005</v>
      </c>
      <c r="D55" s="20">
        <v>12</v>
      </c>
      <c r="E55" s="21">
        <f>_xlfn.XLOOKUP(A55,'Product Master'!$A:$A,'Product Master'!$B:$B,,0)</f>
        <v>20.2692640692641</v>
      </c>
      <c r="F55" s="21">
        <f t="shared" si="1"/>
        <v>243.23116883116921</v>
      </c>
    </row>
    <row r="56" spans="1:6">
      <c r="A56" s="16" t="s">
        <v>77</v>
      </c>
      <c r="B56" s="17" t="s">
        <v>22</v>
      </c>
      <c r="C56" s="19">
        <f t="shared" ca="1" si="0"/>
        <v>45005</v>
      </c>
      <c r="D56" s="20">
        <v>32</v>
      </c>
      <c r="E56" s="21">
        <f>_xlfn.XLOOKUP(A56,'Product Master'!$A:$A,'Product Master'!$B:$B,,0)</f>
        <v>20.552380952381</v>
      </c>
      <c r="F56" s="21">
        <f t="shared" si="1"/>
        <v>657.67619047619201</v>
      </c>
    </row>
    <row r="57" spans="1:6">
      <c r="A57" s="16" t="s">
        <v>78</v>
      </c>
      <c r="B57" s="17" t="s">
        <v>22</v>
      </c>
      <c r="C57" s="19">
        <f t="shared" ca="1" si="0"/>
        <v>45005</v>
      </c>
      <c r="D57" s="20">
        <v>35</v>
      </c>
      <c r="E57" s="21">
        <f>_xlfn.XLOOKUP(A57,'Product Master'!$A:$A,'Product Master'!$B:$B,,0)</f>
        <v>20.8354978354979</v>
      </c>
      <c r="F57" s="21">
        <f t="shared" si="1"/>
        <v>729.24242424242652</v>
      </c>
    </row>
    <row r="58" spans="1:6">
      <c r="A58" s="16" t="s">
        <v>79</v>
      </c>
      <c r="B58" s="17" t="s">
        <v>22</v>
      </c>
      <c r="C58" s="19">
        <f t="shared" ca="1" si="0"/>
        <v>45005</v>
      </c>
      <c r="D58" s="20">
        <v>61</v>
      </c>
      <c r="E58" s="21">
        <f>_xlfn.XLOOKUP(A58,'Product Master'!$A:$A,'Product Master'!$B:$B,,0)</f>
        <v>21.118614718614801</v>
      </c>
      <c r="F58" s="21">
        <f t="shared" si="1"/>
        <v>1288.2354978355029</v>
      </c>
    </row>
    <row r="59" spans="1:6">
      <c r="A59" s="16" t="s">
        <v>80</v>
      </c>
      <c r="B59" s="17" t="s">
        <v>22</v>
      </c>
      <c r="C59" s="19">
        <f t="shared" ca="1" si="0"/>
        <v>45005</v>
      </c>
      <c r="D59" s="20">
        <v>6</v>
      </c>
      <c r="E59" s="21">
        <f>_xlfn.XLOOKUP(A59,'Product Master'!$A:$A,'Product Master'!$B:$B,,0)</f>
        <v>21.401731601731601</v>
      </c>
      <c r="F59" s="21">
        <f t="shared" si="1"/>
        <v>128.41038961038961</v>
      </c>
    </row>
    <row r="60" spans="1:6">
      <c r="A60" s="16" t="s">
        <v>81</v>
      </c>
      <c r="B60" s="17" t="s">
        <v>22</v>
      </c>
      <c r="C60" s="19">
        <f t="shared" ca="1" si="0"/>
        <v>45005</v>
      </c>
      <c r="D60" s="20">
        <v>224</v>
      </c>
      <c r="E60" s="21">
        <f>_xlfn.XLOOKUP(A60,'Product Master'!$A:$A,'Product Master'!$B:$B,,0)</f>
        <v>21.684848484848501</v>
      </c>
      <c r="F60" s="21">
        <f t="shared" si="1"/>
        <v>4857.4060606060648</v>
      </c>
    </row>
    <row r="61" spans="1:6">
      <c r="A61" s="16" t="s">
        <v>82</v>
      </c>
      <c r="B61" s="17" t="s">
        <v>22</v>
      </c>
      <c r="C61" s="19">
        <f t="shared" ca="1" si="0"/>
        <v>45005</v>
      </c>
      <c r="D61" s="20">
        <v>32</v>
      </c>
      <c r="E61" s="21">
        <f>_xlfn.XLOOKUP(A61,'Product Master'!$A:$A,'Product Master'!$B:$B,,0)</f>
        <v>21.967965367965402</v>
      </c>
      <c r="F61" s="21">
        <f t="shared" si="1"/>
        <v>702.97489177489285</v>
      </c>
    </row>
    <row r="62" spans="1:6">
      <c r="A62" s="16" t="s">
        <v>83</v>
      </c>
      <c r="B62" s="17" t="s">
        <v>22</v>
      </c>
      <c r="C62" s="19">
        <f t="shared" ca="1" si="0"/>
        <v>45005</v>
      </c>
      <c r="D62" s="20">
        <v>165</v>
      </c>
      <c r="E62" s="21">
        <f>_xlfn.XLOOKUP(A62,'Product Master'!$A:$A,'Product Master'!$B:$B,,0)</f>
        <v>22.251082251082298</v>
      </c>
      <c r="F62" s="21">
        <f t="shared" si="1"/>
        <v>3671.4285714285793</v>
      </c>
    </row>
    <row r="63" spans="1:6">
      <c r="A63" s="17" t="s">
        <v>77</v>
      </c>
      <c r="B63" s="17" t="s">
        <v>26</v>
      </c>
      <c r="C63" s="19">
        <v>45000</v>
      </c>
      <c r="D63" s="20">
        <v>12</v>
      </c>
      <c r="E63" s="21">
        <f>_xlfn.XLOOKUP(A63,'Product Master'!$A:$A,'Product Master'!$B:$B,,0)</f>
        <v>20.552380952381</v>
      </c>
      <c r="F63" s="21">
        <f t="shared" si="1"/>
        <v>246.628571428572</v>
      </c>
    </row>
    <row r="64" spans="1:6">
      <c r="A64" s="17" t="s">
        <v>42</v>
      </c>
      <c r="B64" s="17" t="s">
        <v>26</v>
      </c>
      <c r="C64" s="19">
        <v>45001</v>
      </c>
      <c r="D64" s="20">
        <v>12</v>
      </c>
      <c r="E64" s="21">
        <f>_xlfn.XLOOKUP(A64,'Product Master'!$A:$A,'Product Master'!$B:$B,,0)</f>
        <v>12</v>
      </c>
      <c r="F64" s="21">
        <f t="shared" si="1"/>
        <v>144</v>
      </c>
    </row>
    <row r="65" spans="1:6">
      <c r="A65" s="17" t="s">
        <v>79</v>
      </c>
      <c r="B65" s="17" t="s">
        <v>26</v>
      </c>
      <c r="C65" s="19">
        <v>45001</v>
      </c>
      <c r="D65" s="20">
        <v>12</v>
      </c>
      <c r="E65" s="21">
        <f>_xlfn.XLOOKUP(A65,'Product Master'!$A:$A,'Product Master'!$B:$B,,0)</f>
        <v>21.118614718614801</v>
      </c>
      <c r="F65" s="21">
        <f t="shared" si="1"/>
        <v>253.42337662337761</v>
      </c>
    </row>
    <row r="66" spans="1:6">
      <c r="A66" s="17" t="s">
        <v>63</v>
      </c>
      <c r="B66" s="17" t="s">
        <v>26</v>
      </c>
      <c r="C66" s="19">
        <v>45001</v>
      </c>
      <c r="D66" s="20">
        <v>12</v>
      </c>
      <c r="E66" s="21">
        <f>_xlfn.XLOOKUP(A66,'Product Master'!$A:$A,'Product Master'!$B:$B,,0)</f>
        <v>16.5887445887446</v>
      </c>
      <c r="F66" s="21">
        <f t="shared" si="1"/>
        <v>199.06493506493518</v>
      </c>
    </row>
    <row r="67" spans="1:6">
      <c r="A67" s="17" t="s">
        <v>16</v>
      </c>
      <c r="B67" s="17" t="s">
        <v>27</v>
      </c>
      <c r="C67" s="19">
        <v>45004</v>
      </c>
      <c r="D67" s="20">
        <v>61</v>
      </c>
      <c r="E67" s="21">
        <f>_xlfn.XLOOKUP(A67,'Product Master'!$A:$A,'Product Master'!$B:$B,,0)</f>
        <v>2</v>
      </c>
      <c r="F67" s="21">
        <f t="shared" ref="F67:F78" si="2">E67*D67</f>
        <v>122</v>
      </c>
    </row>
    <row r="68" spans="1:6">
      <c r="A68" s="17" t="s">
        <v>77</v>
      </c>
      <c r="B68" s="17" t="s">
        <v>27</v>
      </c>
      <c r="C68" s="19">
        <v>45004</v>
      </c>
      <c r="D68" s="20">
        <v>177</v>
      </c>
      <c r="E68" s="21">
        <f>_xlfn.XLOOKUP(A68,'Product Master'!$A:$A,'Product Master'!$B:$B,,0)</f>
        <v>20.552380952381</v>
      </c>
      <c r="F68" s="21">
        <f t="shared" si="2"/>
        <v>3637.7714285714369</v>
      </c>
    </row>
    <row r="69" spans="1:6">
      <c r="A69" s="17" t="s">
        <v>57</v>
      </c>
      <c r="B69" s="17" t="s">
        <v>27</v>
      </c>
      <c r="C69" s="19">
        <v>45004</v>
      </c>
      <c r="D69" s="20">
        <v>61</v>
      </c>
      <c r="E69" s="21">
        <f>_xlfn.XLOOKUP(A69,'Product Master'!$A:$A,'Product Master'!$B:$B,,0)</f>
        <v>14.8900432900433</v>
      </c>
      <c r="F69" s="21">
        <f t="shared" si="2"/>
        <v>908.29264069264127</v>
      </c>
    </row>
    <row r="70" spans="1:6">
      <c r="A70" s="17" t="s">
        <v>56</v>
      </c>
      <c r="B70" s="17" t="s">
        <v>27</v>
      </c>
      <c r="C70" s="19">
        <v>45004</v>
      </c>
      <c r="D70" s="20">
        <v>35</v>
      </c>
      <c r="E70" s="21">
        <f>_xlfn.XLOOKUP(A70,'Product Master'!$A:$A,'Product Master'!$B:$B,,0)</f>
        <v>14.6069264069264</v>
      </c>
      <c r="F70" s="21">
        <f t="shared" si="2"/>
        <v>511.24242424242397</v>
      </c>
    </row>
    <row r="71" spans="1:6">
      <c r="A71" s="17" t="s">
        <v>67</v>
      </c>
      <c r="B71" s="17" t="s">
        <v>27</v>
      </c>
      <c r="C71" s="19">
        <v>45004</v>
      </c>
      <c r="D71" s="20">
        <v>1</v>
      </c>
      <c r="E71" s="21">
        <f>_xlfn.XLOOKUP(A71,'Product Master'!$A:$A,'Product Master'!$B:$B,,0)</f>
        <v>17.721212121212201</v>
      </c>
      <c r="F71" s="21">
        <f t="shared" si="2"/>
        <v>17.721212121212201</v>
      </c>
    </row>
    <row r="72" spans="1:6">
      <c r="A72" s="17" t="s">
        <v>54</v>
      </c>
      <c r="B72" s="17" t="s">
        <v>26</v>
      </c>
      <c r="C72" s="19">
        <v>45004</v>
      </c>
      <c r="D72" s="20">
        <v>112</v>
      </c>
      <c r="E72" s="21">
        <f>_xlfn.XLOOKUP(A72,'Product Master'!$A:$A,'Product Master'!$B:$B,,0)</f>
        <v>14.040692640692599</v>
      </c>
      <c r="F72" s="21">
        <f t="shared" si="2"/>
        <v>1572.5575757575712</v>
      </c>
    </row>
    <row r="73" spans="1:6">
      <c r="A73" s="17" t="s">
        <v>54</v>
      </c>
      <c r="B73" s="17" t="s">
        <v>27</v>
      </c>
      <c r="C73" s="19">
        <v>45004</v>
      </c>
      <c r="D73" s="20">
        <v>112</v>
      </c>
      <c r="E73" s="21">
        <f>_xlfn.XLOOKUP(A73,'Product Master'!$A:$A,'Product Master'!$B:$B,,0)</f>
        <v>14.040692640692599</v>
      </c>
      <c r="F73" s="21">
        <f t="shared" si="2"/>
        <v>1572.5575757575712</v>
      </c>
    </row>
    <row r="74" spans="1:6">
      <c r="A74" s="17" t="s">
        <v>71</v>
      </c>
      <c r="B74" s="17" t="s">
        <v>27</v>
      </c>
      <c r="C74" s="19">
        <v>45004</v>
      </c>
      <c r="D74" s="20">
        <v>33</v>
      </c>
      <c r="E74" s="21">
        <f>_xlfn.XLOOKUP(A74,'Product Master'!$A:$A,'Product Master'!$B:$B,,0)</f>
        <v>18.853679653679698</v>
      </c>
      <c r="F74" s="21">
        <f t="shared" si="2"/>
        <v>622.17142857143006</v>
      </c>
    </row>
    <row r="75" spans="1:6" ht="16.5" customHeight="1">
      <c r="A75" s="17" t="s">
        <v>54</v>
      </c>
      <c r="B75" s="17" t="s">
        <v>27</v>
      </c>
      <c r="C75" s="19">
        <v>45005</v>
      </c>
      <c r="D75" s="20">
        <v>4</v>
      </c>
      <c r="E75" s="21">
        <f>_xlfn.XLOOKUP(A75,'Product Master'!$A:$A,'Product Master'!$B:$B,,0)</f>
        <v>14.040692640692599</v>
      </c>
      <c r="F75" s="21">
        <f t="shared" si="2"/>
        <v>56.162770562770397</v>
      </c>
    </row>
    <row r="76" spans="1:6">
      <c r="A76" s="17" t="s">
        <v>16</v>
      </c>
      <c r="B76" s="17" t="s">
        <v>27</v>
      </c>
      <c r="C76" s="19">
        <v>45005</v>
      </c>
      <c r="D76" s="20">
        <v>2</v>
      </c>
      <c r="E76" s="21">
        <f>_xlfn.XLOOKUP(A76,'Product Master'!$A:$A,'Product Master'!$B:$B,,0)</f>
        <v>2</v>
      </c>
      <c r="F76" s="21">
        <f t="shared" si="2"/>
        <v>4</v>
      </c>
    </row>
    <row r="77" spans="1:6">
      <c r="A77" s="17" t="s">
        <v>77</v>
      </c>
      <c r="B77" s="17" t="s">
        <v>27</v>
      </c>
      <c r="C77" s="19">
        <v>45005</v>
      </c>
      <c r="D77" s="20">
        <v>2</v>
      </c>
      <c r="E77" s="21">
        <f>_xlfn.XLOOKUP(A77,'Product Master'!$A:$A,'Product Master'!$B:$B,,0)</f>
        <v>20.552380952381</v>
      </c>
      <c r="F77" s="21">
        <f t="shared" si="2"/>
        <v>41.104761904762</v>
      </c>
    </row>
    <row r="78" spans="1:6">
      <c r="A78" s="17" t="s">
        <v>77</v>
      </c>
      <c r="B78" s="17" t="s">
        <v>27</v>
      </c>
      <c r="C78" s="19">
        <v>45005</v>
      </c>
      <c r="D78" s="20">
        <v>2</v>
      </c>
      <c r="E78" s="21">
        <f>_xlfn.XLOOKUP(A78,'Product Master'!$A:$A,'Product Master'!$B:$B,,0)</f>
        <v>20.552380952381</v>
      </c>
      <c r="F78" s="21">
        <f t="shared" si="2"/>
        <v>41.104761904762</v>
      </c>
    </row>
  </sheetData>
  <dataValidations count="1">
    <dataValidation type="list" allowBlank="1" showInputMessage="1" showErrorMessage="1" sqref="B5020:B1048576 B2:B62" xr:uid="{3D816F98-D15F-4B47-8988-E62875D48CAF}">
      <formula1>"Opening stock,In,Out"</formula1>
    </dataValidation>
  </dataValidations>
  <pageMargins left="0.7" right="0.7" top="0.75" bottom="0.75" header="0.3" footer="0.3"/>
  <pageSetup paperSize="256" orientation="portrait" horizontalDpi="203" verticalDpi="203"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74178C-68A5-4071-B3CA-5AC09F188B6F}">
  <sheetPr codeName="Sheet5">
    <tabColor rgb="FFFF0000"/>
  </sheetPr>
  <dimension ref="A1:I62"/>
  <sheetViews>
    <sheetView workbookViewId="0">
      <selection activeCell="A15" sqref="A15"/>
    </sheetView>
  </sheetViews>
  <sheetFormatPr defaultRowHeight="15"/>
  <cols>
    <col min="1" max="1" width="38.42578125" style="9" bestFit="1" customWidth="1"/>
    <col min="2" max="9" width="16.28515625" customWidth="1"/>
  </cols>
  <sheetData>
    <row r="1" spans="1:9">
      <c r="A1" s="7" t="s">
        <v>25</v>
      </c>
      <c r="B1" s="6" t="s">
        <v>22</v>
      </c>
      <c r="C1" s="6" t="s">
        <v>26</v>
      </c>
      <c r="D1" s="6" t="s">
        <v>27</v>
      </c>
      <c r="E1" s="6" t="s">
        <v>28</v>
      </c>
      <c r="F1" s="6" t="s">
        <v>29</v>
      </c>
      <c r="G1" s="6" t="s">
        <v>30</v>
      </c>
      <c r="H1" s="6" t="s">
        <v>31</v>
      </c>
      <c r="I1" s="6" t="s">
        <v>32</v>
      </c>
    </row>
    <row r="2" spans="1:9" ht="15.75">
      <c r="A2" s="8" t="s">
        <v>16</v>
      </c>
      <c r="B2" s="14">
        <v>61</v>
      </c>
      <c r="C2" s="14">
        <f>SUMIFS('Stock in-out'!$D:$D,'Stock in-out'!$B:$B,"In",'Stock in-out'!$A:$A,A2)</f>
        <v>0</v>
      </c>
      <c r="D2" s="14">
        <f>SUMIFS('Stock in-out'!$D:$D,'Stock in-out'!$B:$B,"Out",'Stock in-out'!$A:$A,A2)</f>
        <v>63</v>
      </c>
      <c r="E2" s="14">
        <f t="shared" ref="E2:E33" si="0">B2+C2-D2</f>
        <v>-2</v>
      </c>
      <c r="F2" s="15">
        <f>_xlfn.XLOOKUP(Inventory!A20,'Product Master'!$A:$A,'Product Master'!$B:$B,,0)*E2</f>
        <v>-4</v>
      </c>
      <c r="G2" s="14">
        <f>_xlfn.XLOOKUP(A2,'Product Master'!$A:$A,'Product Master'!$D:$D,,0)</f>
        <v>6</v>
      </c>
      <c r="H2" s="14" t="str">
        <f t="shared" ref="H2:H33" si="1">IF(G2&gt;=E2,"Yes","No")</f>
        <v>Yes</v>
      </c>
      <c r="I2" s="14">
        <f>_xlfn.XLOOKUP(A2,'Product Master'!$A:$A,'Product Master'!$C:$C,,0)</f>
        <v>1</v>
      </c>
    </row>
    <row r="3" spans="1:9" ht="15.75">
      <c r="A3" s="8" t="s">
        <v>77</v>
      </c>
      <c r="B3" s="14">
        <v>165</v>
      </c>
      <c r="C3" s="14">
        <f>SUMIFS('Stock in-out'!$D:$D,'Stock in-out'!$B:$B,"In",'Stock in-out'!$A:$A,A3)</f>
        <v>12</v>
      </c>
      <c r="D3" s="14">
        <f>SUMIFS('Stock in-out'!$D:$D,'Stock in-out'!$B:$B,"Out",'Stock in-out'!$A:$A,A3)</f>
        <v>181</v>
      </c>
      <c r="E3" s="14">
        <f t="shared" si="0"/>
        <v>-4</v>
      </c>
      <c r="F3" s="15">
        <f>_xlfn.XLOOKUP(Inventory!A56,'Product Master'!$A:$A,'Product Master'!$B:$B,,0)*E3</f>
        <v>-61.825108225108401</v>
      </c>
      <c r="G3" s="14">
        <f>_xlfn.XLOOKUP(A3,'Product Master'!$A:$A,'Product Master'!$D:$D,,0)</f>
        <v>2</v>
      </c>
      <c r="H3" s="14" t="str">
        <f t="shared" si="1"/>
        <v>Yes</v>
      </c>
      <c r="I3" s="14">
        <f>_xlfn.XLOOKUP(A3,'Product Master'!$A:$A,'Product Master'!$C:$C,,0)</f>
        <v>2</v>
      </c>
    </row>
    <row r="4" spans="1:9" ht="15.75">
      <c r="A4" s="8" t="s">
        <v>57</v>
      </c>
      <c r="B4" s="14">
        <v>61</v>
      </c>
      <c r="C4" s="14">
        <f>SUMIFS('Stock in-out'!$D:$D,'Stock in-out'!$B:$B,"In",'Stock in-out'!$A:$A,A4)</f>
        <v>0</v>
      </c>
      <c r="D4" s="14">
        <f>SUMIFS('Stock in-out'!$D:$D,'Stock in-out'!$B:$B,"Out",'Stock in-out'!$A:$A,A4)</f>
        <v>61</v>
      </c>
      <c r="E4" s="14">
        <f t="shared" si="0"/>
        <v>0</v>
      </c>
      <c r="F4" s="15">
        <f>_xlfn.XLOOKUP(Inventory!A36,'Product Master'!$A:$A,'Product Master'!$B:$B,,0)*E4</f>
        <v>0</v>
      </c>
      <c r="G4" s="14">
        <f>_xlfn.XLOOKUP(A4,'Product Master'!$A:$A,'Product Master'!$D:$D,,0)</f>
        <v>2</v>
      </c>
      <c r="H4" s="14" t="str">
        <f t="shared" si="1"/>
        <v>Yes</v>
      </c>
      <c r="I4" s="14">
        <f>_xlfn.XLOOKUP(A4,'Product Master'!$A:$A,'Product Master'!$C:$C,,0)</f>
        <v>3</v>
      </c>
    </row>
    <row r="5" spans="1:9" ht="15.75">
      <c r="A5" s="8" t="s">
        <v>56</v>
      </c>
      <c r="B5" s="14">
        <v>35</v>
      </c>
      <c r="C5" s="14">
        <f>SUMIFS('Stock in-out'!$D:$D,'Stock in-out'!$B:$B,"In",'Stock in-out'!$A:$A,A5)</f>
        <v>0</v>
      </c>
      <c r="D5" s="14">
        <f>SUMIFS('Stock in-out'!$D:$D,'Stock in-out'!$B:$B,"Out",'Stock in-out'!$A:$A,A5)</f>
        <v>35</v>
      </c>
      <c r="E5" s="14">
        <f t="shared" si="0"/>
        <v>0</v>
      </c>
      <c r="F5" s="15">
        <f>_xlfn.XLOOKUP(Inventory!A35,'Product Master'!$A:$A,'Product Master'!$B:$B,,0)*E5</f>
        <v>0</v>
      </c>
      <c r="G5" s="14">
        <f>_xlfn.XLOOKUP(A5,'Product Master'!$A:$A,'Product Master'!$D:$D,,0)</f>
        <v>2</v>
      </c>
      <c r="H5" s="14" t="str">
        <f t="shared" si="1"/>
        <v>Yes</v>
      </c>
      <c r="I5" s="14">
        <f>_xlfn.XLOOKUP(A5,'Product Master'!$A:$A,'Product Master'!$C:$C,,0)</f>
        <v>1</v>
      </c>
    </row>
    <row r="6" spans="1:9" ht="15.75">
      <c r="A6" s="8" t="s">
        <v>71</v>
      </c>
      <c r="B6" s="14">
        <v>32</v>
      </c>
      <c r="C6" s="14">
        <f>SUMIFS('Stock in-out'!$D:$D,'Stock in-out'!$B:$B,"In",'Stock in-out'!$A:$A,A6)</f>
        <v>0</v>
      </c>
      <c r="D6" s="14">
        <f>SUMIFS('Stock in-out'!$D:$D,'Stock in-out'!$B:$B,"Out",'Stock in-out'!$A:$A,A6)</f>
        <v>33</v>
      </c>
      <c r="E6" s="14">
        <f t="shared" si="0"/>
        <v>-1</v>
      </c>
      <c r="F6" s="15">
        <f>_xlfn.XLOOKUP(Inventory!A50,'Product Master'!$A:$A,'Product Master'!$B:$B,,0)*E6</f>
        <v>-21</v>
      </c>
      <c r="G6" s="14">
        <f>_xlfn.XLOOKUP(A6,'Product Master'!$A:$A,'Product Master'!$D:$D,,0)</f>
        <v>2</v>
      </c>
      <c r="H6" s="14" t="str">
        <f t="shared" si="1"/>
        <v>Yes</v>
      </c>
      <c r="I6" s="14">
        <f>_xlfn.XLOOKUP(A6,'Product Master'!$A:$A,'Product Master'!$C:$C,,0)</f>
        <v>2</v>
      </c>
    </row>
    <row r="7" spans="1:9" ht="15.75">
      <c r="A7" s="8" t="s">
        <v>54</v>
      </c>
      <c r="B7" s="14">
        <v>3</v>
      </c>
      <c r="C7" s="14">
        <f>SUMIFS('Stock in-out'!$D:$D,'Stock in-out'!$B:$B,"In",'Stock in-out'!$A:$A,A7)</f>
        <v>112</v>
      </c>
      <c r="D7" s="14">
        <f>SUMIFS('Stock in-out'!$D:$D,'Stock in-out'!$B:$B,"Out",'Stock in-out'!$A:$A,A7)</f>
        <v>116</v>
      </c>
      <c r="E7" s="14">
        <f t="shared" si="0"/>
        <v>-1</v>
      </c>
      <c r="F7" s="15">
        <f>_xlfn.XLOOKUP(Inventory!A33,'Product Master'!$A:$A,'Product Master'!$B:$B,,0)*E7</f>
        <v>-2</v>
      </c>
      <c r="G7" s="14">
        <f>_xlfn.XLOOKUP(A7,'Product Master'!$A:$A,'Product Master'!$D:$D,,0)</f>
        <v>2</v>
      </c>
      <c r="H7" s="14" t="str">
        <f t="shared" si="1"/>
        <v>Yes</v>
      </c>
      <c r="I7" s="14">
        <f>_xlfn.XLOOKUP(A7,'Product Master'!$A:$A,'Product Master'!$C:$C,,0)</f>
        <v>3</v>
      </c>
    </row>
    <row r="8" spans="1:9" ht="15.75">
      <c r="A8" s="8" t="s">
        <v>72</v>
      </c>
      <c r="B8" s="14">
        <v>35</v>
      </c>
      <c r="C8" s="14">
        <f>SUMIFS('Stock in-out'!$D:$D,'Stock in-out'!$B:$B,"In",'Stock in-out'!$A:$A,A8)</f>
        <v>0</v>
      </c>
      <c r="D8" s="14">
        <f>SUMIFS('Stock in-out'!$D:$D,'Stock in-out'!$B:$B,"Out",'Stock in-out'!$A:$A,A8)</f>
        <v>0</v>
      </c>
      <c r="E8" s="14">
        <f t="shared" si="0"/>
        <v>35</v>
      </c>
      <c r="F8" s="15">
        <f>_xlfn.XLOOKUP(Inventory!A51,'Product Master'!$A:$A,'Product Master'!$B:$B,,0)*E8</f>
        <v>441.87878787878697</v>
      </c>
      <c r="G8" s="14">
        <f>_xlfn.XLOOKUP(A8,'Product Master'!$A:$A,'Product Master'!$D:$D,,0)</f>
        <v>2</v>
      </c>
      <c r="H8" s="14" t="str">
        <f t="shared" si="1"/>
        <v>No</v>
      </c>
      <c r="I8" s="14">
        <f>_xlfn.XLOOKUP(A8,'Product Master'!$A:$A,'Product Master'!$C:$C,,0)</f>
        <v>1</v>
      </c>
    </row>
    <row r="9" spans="1:9" ht="15.75">
      <c r="A9" s="8" t="s">
        <v>70</v>
      </c>
      <c r="B9" s="14">
        <v>3</v>
      </c>
      <c r="C9" s="14">
        <f>SUMIFS('Stock in-out'!$D:$D,'Stock in-out'!$B:$B,"In",'Stock in-out'!$A:$A,A9)</f>
        <v>0</v>
      </c>
      <c r="D9" s="14">
        <f>SUMIFS('Stock in-out'!$D:$D,'Stock in-out'!$B:$B,"Out",'Stock in-out'!$A:$A,A9)</f>
        <v>0</v>
      </c>
      <c r="E9" s="14">
        <f t="shared" si="0"/>
        <v>3</v>
      </c>
      <c r="F9" s="15">
        <f>_xlfn.XLOOKUP(Inventory!A49,'Product Master'!$A:$A,'Product Master'!$B:$B,,0)*E9</f>
        <v>9</v>
      </c>
      <c r="G9" s="14">
        <f>_xlfn.XLOOKUP(A9,'Product Master'!$A:$A,'Product Master'!$D:$D,,0)</f>
        <v>2</v>
      </c>
      <c r="H9" s="14" t="str">
        <f t="shared" si="1"/>
        <v>No</v>
      </c>
      <c r="I9" s="14">
        <f>_xlfn.XLOOKUP(A9,'Product Master'!$A:$A,'Product Master'!$C:$C,,0)</f>
        <v>2</v>
      </c>
    </row>
    <row r="10" spans="1:9" ht="15.75">
      <c r="A10" s="8" t="s">
        <v>81</v>
      </c>
      <c r="B10" s="14">
        <v>51</v>
      </c>
      <c r="C10" s="14">
        <f>SUMIFS('Stock in-out'!$D:$D,'Stock in-out'!$B:$B,"In",'Stock in-out'!$A:$A,A10)</f>
        <v>0</v>
      </c>
      <c r="D10" s="14">
        <f>SUMIFS('Stock in-out'!$D:$D,'Stock in-out'!$B:$B,"Out",'Stock in-out'!$A:$A,A10)</f>
        <v>0</v>
      </c>
      <c r="E10" s="14">
        <f t="shared" si="0"/>
        <v>51</v>
      </c>
      <c r="F10" s="15">
        <f>_xlfn.XLOOKUP(Inventory!A60,'Product Master'!$A:$A,'Product Master'!$B:$B,,0)*E10</f>
        <v>889.34285714286034</v>
      </c>
      <c r="G10" s="14">
        <f>_xlfn.XLOOKUP(A10,'Product Master'!$A:$A,'Product Master'!$D:$D,,0)</f>
        <v>2</v>
      </c>
      <c r="H10" s="14" t="str">
        <f t="shared" si="1"/>
        <v>No</v>
      </c>
      <c r="I10" s="14">
        <f>_xlfn.XLOOKUP(A10,'Product Master'!$A:$A,'Product Master'!$C:$C,,0)</f>
        <v>3</v>
      </c>
    </row>
    <row r="11" spans="1:9" ht="15.75">
      <c r="A11" s="8" t="s">
        <v>61</v>
      </c>
      <c r="B11" s="14">
        <v>165</v>
      </c>
      <c r="C11" s="14">
        <f>SUMIFS('Stock in-out'!$D:$D,'Stock in-out'!$B:$B,"In",'Stock in-out'!$A:$A,A11)</f>
        <v>0</v>
      </c>
      <c r="D11" s="14">
        <f>SUMIFS('Stock in-out'!$D:$D,'Stock in-out'!$B:$B,"Out",'Stock in-out'!$A:$A,A11)</f>
        <v>0</v>
      </c>
      <c r="E11" s="14">
        <f t="shared" si="0"/>
        <v>165</v>
      </c>
      <c r="F11" s="15">
        <f>_xlfn.XLOOKUP(Inventory!A40,'Product Master'!$A:$A,'Product Master'!$B:$B,,0)*E11</f>
        <v>3531.2857142857142</v>
      </c>
      <c r="G11" s="14">
        <f>_xlfn.XLOOKUP(A11,'Product Master'!$A:$A,'Product Master'!$D:$D,,0)</f>
        <v>2</v>
      </c>
      <c r="H11" s="14" t="str">
        <f t="shared" si="1"/>
        <v>No</v>
      </c>
      <c r="I11" s="14">
        <f>_xlfn.XLOOKUP(A11,'Product Master'!$A:$A,'Product Master'!$C:$C,,0)</f>
        <v>11</v>
      </c>
    </row>
    <row r="12" spans="1:9" ht="15.75">
      <c r="A12" s="8" t="s">
        <v>60</v>
      </c>
      <c r="B12" s="14">
        <v>32</v>
      </c>
      <c r="C12" s="14">
        <f>SUMIFS('Stock in-out'!$D:$D,'Stock in-out'!$B:$B,"In",'Stock in-out'!$A:$A,A12)</f>
        <v>0</v>
      </c>
      <c r="D12" s="14">
        <f>SUMIFS('Stock in-out'!$D:$D,'Stock in-out'!$B:$B,"Out",'Stock in-out'!$A:$A,A12)</f>
        <v>0</v>
      </c>
      <c r="E12" s="14">
        <f t="shared" si="0"/>
        <v>32</v>
      </c>
      <c r="F12" s="15">
        <f>_xlfn.XLOOKUP(Inventory!A39,'Product Master'!$A:$A,'Product Master'!$B:$B,,0)*E12</f>
        <v>521.78008658008639</v>
      </c>
      <c r="G12" s="14">
        <f>_xlfn.XLOOKUP(A12,'Product Master'!$A:$A,'Product Master'!$D:$D,,0)</f>
        <v>2</v>
      </c>
      <c r="H12" s="14" t="str">
        <f t="shared" si="1"/>
        <v>No</v>
      </c>
      <c r="I12" s="14">
        <f>_xlfn.XLOOKUP(A12,'Product Master'!$A:$A,'Product Master'!$C:$C,,0)</f>
        <v>2</v>
      </c>
    </row>
    <row r="13" spans="1:9" ht="15.75">
      <c r="A13" s="8" t="s">
        <v>42</v>
      </c>
      <c r="B13" s="14">
        <v>6</v>
      </c>
      <c r="C13" s="14">
        <f>SUMIFS('Stock in-out'!$D:$D,'Stock in-out'!$B:$B,"In",'Stock in-out'!$A:$A,A13)</f>
        <v>12</v>
      </c>
      <c r="D13" s="14">
        <f>SUMIFS('Stock in-out'!$D:$D,'Stock in-out'!$B:$B,"Out",'Stock in-out'!$A:$A,A13)</f>
        <v>0</v>
      </c>
      <c r="E13" s="14">
        <f t="shared" si="0"/>
        <v>18</v>
      </c>
      <c r="F13" s="15">
        <f>_xlfn.XLOOKUP(Inventory!A21,'Product Master'!$A:$A,'Product Master'!$B:$B,,0)*E13</f>
        <v>54</v>
      </c>
      <c r="G13" s="14">
        <f>_xlfn.XLOOKUP(A13,'Product Master'!$A:$A,'Product Master'!$D:$D,,0)</f>
        <v>8</v>
      </c>
      <c r="H13" s="14" t="str">
        <f t="shared" si="1"/>
        <v>No</v>
      </c>
      <c r="I13" s="14">
        <f>_xlfn.XLOOKUP(A13,'Product Master'!$A:$A,'Product Master'!$C:$C,,0)</f>
        <v>3</v>
      </c>
    </row>
    <row r="14" spans="1:9" ht="15.75">
      <c r="A14" s="8" t="s">
        <v>67</v>
      </c>
      <c r="B14" s="14">
        <v>13</v>
      </c>
      <c r="C14" s="14">
        <f>SUMIFS('Stock in-out'!$D:$D,'Stock in-out'!$B:$B,"In",'Stock in-out'!$A:$A,A14)</f>
        <v>0</v>
      </c>
      <c r="D14" s="14">
        <f>SUMIFS('Stock in-out'!$D:$D,'Stock in-out'!$B:$B,"Out",'Stock in-out'!$A:$A,A14)</f>
        <v>1</v>
      </c>
      <c r="E14" s="14">
        <f t="shared" si="0"/>
        <v>12</v>
      </c>
      <c r="F14" s="15">
        <f>_xlfn.XLOOKUP(Inventory!A46,'Product Master'!$A:$A,'Product Master'!$B:$B,,0)*E14</f>
        <v>161.69350649350679</v>
      </c>
      <c r="G14" s="14">
        <f>_xlfn.XLOOKUP(A14,'Product Master'!$A:$A,'Product Master'!$D:$D,,0)</f>
        <v>2</v>
      </c>
      <c r="H14" s="14" t="str">
        <f t="shared" si="1"/>
        <v>No</v>
      </c>
      <c r="I14" s="14">
        <f>_xlfn.XLOOKUP(A14,'Product Master'!$A:$A,'Product Master'!$C:$C,,0)</f>
        <v>1</v>
      </c>
    </row>
    <row r="15" spans="1:9" ht="15.75">
      <c r="A15" s="8" t="s">
        <v>78</v>
      </c>
      <c r="B15" s="14">
        <v>16</v>
      </c>
      <c r="C15" s="14">
        <f>SUMIFS('Stock in-out'!$D:$D,'Stock in-out'!$B:$B,"In",'Stock in-out'!$A:$A,A15)</f>
        <v>0</v>
      </c>
      <c r="D15" s="14">
        <f>SUMIFS('Stock in-out'!$D:$D,'Stock in-out'!$B:$B,"Out",'Stock in-out'!$A:$A,A15)</f>
        <v>0</v>
      </c>
      <c r="E15" s="14">
        <f t="shared" si="0"/>
        <v>16</v>
      </c>
      <c r="F15" s="15">
        <f>_xlfn.XLOOKUP(Inventory!A57,'Product Master'!$A:$A,'Product Master'!$B:$B,,0)*E15</f>
        <v>211.061471861472</v>
      </c>
      <c r="G15" s="14">
        <f>_xlfn.XLOOKUP(A15,'Product Master'!$A:$A,'Product Master'!$D:$D,,0)</f>
        <v>2</v>
      </c>
      <c r="H15" s="14" t="str">
        <f t="shared" si="1"/>
        <v>No</v>
      </c>
      <c r="I15" s="14">
        <f>_xlfn.XLOOKUP(A15,'Product Master'!$A:$A,'Product Master'!$C:$C,,0)</f>
        <v>2</v>
      </c>
    </row>
    <row r="16" spans="1:9" ht="15.75">
      <c r="A16" s="8" t="s">
        <v>76</v>
      </c>
      <c r="B16" s="14">
        <v>32</v>
      </c>
      <c r="C16" s="14">
        <f>SUMIFS('Stock in-out'!$D:$D,'Stock in-out'!$B:$B,"In",'Stock in-out'!$A:$A,A16)</f>
        <v>0</v>
      </c>
      <c r="D16" s="14">
        <f>SUMIFS('Stock in-out'!$D:$D,'Stock in-out'!$B:$B,"Out",'Stock in-out'!$A:$A,A16)</f>
        <v>0</v>
      </c>
      <c r="E16" s="14">
        <f t="shared" si="0"/>
        <v>32</v>
      </c>
      <c r="F16" s="15">
        <f>_xlfn.XLOOKUP(Inventory!A55,'Product Master'!$A:$A,'Product Master'!$B:$B,,0)*E16</f>
        <v>485.54112554112641</v>
      </c>
      <c r="G16" s="14">
        <f>_xlfn.XLOOKUP(A16,'Product Master'!$A:$A,'Product Master'!$D:$D,,0)</f>
        <v>2</v>
      </c>
      <c r="H16" s="14" t="str">
        <f t="shared" si="1"/>
        <v>No</v>
      </c>
      <c r="I16" s="14">
        <f>_xlfn.XLOOKUP(A16,'Product Master'!$A:$A,'Product Master'!$C:$C,,0)</f>
        <v>3</v>
      </c>
    </row>
    <row r="17" spans="1:9" ht="15.75">
      <c r="A17" s="8" t="s">
        <v>41</v>
      </c>
      <c r="B17" s="14">
        <f>SUMIFS('Stock in-out'!$D:$D,'Stock in-out'!$B:$B,"Opening stock",'Stock in-out'!$A:$A,'Stock in-out'!A13)</f>
        <v>635</v>
      </c>
      <c r="C17" s="14">
        <f>SUMIFS('Stock in-out'!$D:$D,'Stock in-out'!$B:$B,"In",'Stock in-out'!$A:$A,A17)</f>
        <v>0</v>
      </c>
      <c r="D17" s="14">
        <f>SUMIFS('Stock in-out'!$D:$D,'Stock in-out'!$B:$B,"Out",'Stock in-out'!$A:$A,A17)</f>
        <v>0</v>
      </c>
      <c r="E17" s="14">
        <f t="shared" si="0"/>
        <v>635</v>
      </c>
      <c r="F17" s="15">
        <f>_xlfn.XLOOKUP(Inventory!A13,'Product Master'!$A:$A,'Product Master'!$B:$B,,0)*E17</f>
        <v>7620</v>
      </c>
      <c r="G17" s="14">
        <f>_xlfn.XLOOKUP(A17,'Product Master'!$A:$A,'Product Master'!$D:$D,,0)</f>
        <v>5</v>
      </c>
      <c r="H17" s="14" t="str">
        <f t="shared" si="1"/>
        <v>No</v>
      </c>
      <c r="I17" s="14">
        <f>_xlfn.XLOOKUP(A17,'Product Master'!$A:$A,'Product Master'!$C:$C,,0)</f>
        <v>1</v>
      </c>
    </row>
    <row r="18" spans="1:9" ht="15.75">
      <c r="A18" s="8" t="s">
        <v>6</v>
      </c>
      <c r="B18" s="14">
        <f>SUMIFS('Stock in-out'!$D:$D,'Stock in-out'!$B:$B,"Opening stock",'Stock in-out'!$A:$A,'Stock in-out'!A9)</f>
        <v>16</v>
      </c>
      <c r="C18" s="14">
        <f>SUMIFS('Stock in-out'!$D:$D,'Stock in-out'!$B:$B,"In",'Stock in-out'!$A:$A,A18)</f>
        <v>0</v>
      </c>
      <c r="D18" s="14">
        <f>SUMIFS('Stock in-out'!$D:$D,'Stock in-out'!$B:$B,"Out",'Stock in-out'!$A:$A,A18)</f>
        <v>0</v>
      </c>
      <c r="E18" s="14">
        <f t="shared" si="0"/>
        <v>16</v>
      </c>
      <c r="F18" s="15">
        <f>_xlfn.XLOOKUP(Inventory!A9,'Product Master'!$A:$A,'Product Master'!$B:$B,,0)*E18</f>
        <v>297.12900432900477</v>
      </c>
      <c r="G18" s="14">
        <f>_xlfn.XLOOKUP(A18,'Product Master'!$A:$A,'Product Master'!$D:$D,,0)</f>
        <v>5</v>
      </c>
      <c r="H18" s="14" t="str">
        <f t="shared" si="1"/>
        <v>No</v>
      </c>
      <c r="I18" s="14">
        <f>_xlfn.XLOOKUP(A18,'Product Master'!$A:$A,'Product Master'!$C:$C,,0)</f>
        <v>2</v>
      </c>
    </row>
    <row r="19" spans="1:9" ht="15.75">
      <c r="A19" s="8" t="s">
        <v>5</v>
      </c>
      <c r="B19" s="14">
        <f>SUMIFS('Stock in-out'!$D:$D,'Stock in-out'!$B:$B,"Opening stock",'Stock in-out'!$A:$A,'Stock in-out'!A8)</f>
        <v>165</v>
      </c>
      <c r="C19" s="14">
        <f>SUMIFS('Stock in-out'!$D:$D,'Stock in-out'!$B:$B,"In",'Stock in-out'!$A:$A,A19)</f>
        <v>0</v>
      </c>
      <c r="D19" s="14">
        <f>SUMIFS('Stock in-out'!$D:$D,'Stock in-out'!$B:$B,"Out",'Stock in-out'!$A:$A,A19)</f>
        <v>0</v>
      </c>
      <c r="E19" s="14">
        <f t="shared" si="0"/>
        <v>165</v>
      </c>
      <c r="F19" s="15">
        <f>_xlfn.XLOOKUP(Inventory!A8,'Product Master'!$A:$A,'Product Master'!$B:$B,,0)*E19</f>
        <v>3157.5714285714389</v>
      </c>
      <c r="G19" s="14">
        <f>_xlfn.XLOOKUP(A19,'Product Master'!$A:$A,'Product Master'!$D:$D,,0)</f>
        <v>5</v>
      </c>
      <c r="H19" s="14" t="str">
        <f t="shared" si="1"/>
        <v>No</v>
      </c>
      <c r="I19" s="14">
        <f>_xlfn.XLOOKUP(A19,'Product Master'!$A:$A,'Product Master'!$C:$C,,0)</f>
        <v>3</v>
      </c>
    </row>
    <row r="20" spans="1:9" ht="15.75">
      <c r="A20" s="8" t="s">
        <v>4</v>
      </c>
      <c r="B20" s="14">
        <f>SUMIFS('Stock in-out'!$D:$D,'Stock in-out'!$B:$B,"Opening stock",'Stock in-out'!$A:$A,'Stock in-out'!A7)</f>
        <v>32</v>
      </c>
      <c r="C20" s="14">
        <f>SUMIFS('Stock in-out'!$D:$D,'Stock in-out'!$B:$B,"In",'Stock in-out'!$A:$A,A20)</f>
        <v>0</v>
      </c>
      <c r="D20" s="14">
        <f>SUMIFS('Stock in-out'!$D:$D,'Stock in-out'!$B:$B,"Out",'Stock in-out'!$A:$A,A20)</f>
        <v>0</v>
      </c>
      <c r="E20" s="14">
        <f t="shared" si="0"/>
        <v>32</v>
      </c>
      <c r="F20" s="15">
        <f>_xlfn.XLOOKUP(Inventory!A7,'Product Master'!$A:$A,'Product Master'!$B:$B,,0)*E20</f>
        <v>449.30216450216318</v>
      </c>
      <c r="G20" s="14">
        <f>_xlfn.XLOOKUP(A20,'Product Master'!$A:$A,'Product Master'!$D:$D,,0)</f>
        <v>5</v>
      </c>
      <c r="H20" s="14" t="str">
        <f t="shared" si="1"/>
        <v>No</v>
      </c>
      <c r="I20" s="14">
        <f>_xlfn.XLOOKUP(A20,'Product Master'!$A:$A,'Product Master'!$C:$C,,0)</f>
        <v>1</v>
      </c>
    </row>
    <row r="21" spans="1:9" ht="15.75">
      <c r="A21" s="8" t="s">
        <v>3</v>
      </c>
      <c r="B21" s="14">
        <f>SUMIFS('Stock in-out'!$D:$D,'Stock in-out'!$B:$B,"Opening stock",'Stock in-out'!$A:$A,'Stock in-out'!A6)</f>
        <v>224</v>
      </c>
      <c r="C21" s="14">
        <f>SUMIFS('Stock in-out'!$D:$D,'Stock in-out'!$B:$B,"In",'Stock in-out'!$A:$A,A21)</f>
        <v>0</v>
      </c>
      <c r="D21" s="14">
        <f>SUMIFS('Stock in-out'!$D:$D,'Stock in-out'!$B:$B,"Out",'Stock in-out'!$A:$A,A21)</f>
        <v>0</v>
      </c>
      <c r="E21" s="14">
        <f t="shared" si="0"/>
        <v>224</v>
      </c>
      <c r="F21" s="15">
        <f>_xlfn.XLOOKUP(Inventory!A6,'Product Master'!$A:$A,'Product Master'!$B:$B,,0)*E21</f>
        <v>4223.2242424242522</v>
      </c>
      <c r="G21" s="14">
        <f>_xlfn.XLOOKUP(A21,'Product Master'!$A:$A,'Product Master'!$D:$D,,0)</f>
        <v>5</v>
      </c>
      <c r="H21" s="14" t="str">
        <f t="shared" si="1"/>
        <v>No</v>
      </c>
      <c r="I21" s="14">
        <f>_xlfn.XLOOKUP(A21,'Product Master'!$A:$A,'Product Master'!$C:$C,,0)</f>
        <v>2</v>
      </c>
    </row>
    <row r="22" spans="1:9" ht="15.75">
      <c r="A22" s="8" t="s">
        <v>2</v>
      </c>
      <c r="B22" s="14">
        <f>SUMIFS('Stock in-out'!$D:$D,'Stock in-out'!$B:$B,"Opening stock",'Stock in-out'!$A:$A,'Stock in-out'!A5)</f>
        <v>6</v>
      </c>
      <c r="C22" s="14">
        <f>SUMIFS('Stock in-out'!$D:$D,'Stock in-out'!$B:$B,"In",'Stock in-out'!$A:$A,A22)</f>
        <v>0</v>
      </c>
      <c r="D22" s="14">
        <f>SUMIFS('Stock in-out'!$D:$D,'Stock in-out'!$B:$B,"Out",'Stock in-out'!$A:$A,A22)</f>
        <v>0</v>
      </c>
      <c r="E22" s="14">
        <f t="shared" si="0"/>
        <v>6</v>
      </c>
      <c r="F22" s="15">
        <f>_xlfn.XLOOKUP(Inventory!A5,'Product Master'!$A:$A,'Product Master'!$B:$B,,0)*E22</f>
        <v>87.641558441558402</v>
      </c>
      <c r="G22" s="14">
        <f>_xlfn.XLOOKUP(A22,'Product Master'!$A:$A,'Product Master'!$D:$D,,0)</f>
        <v>5</v>
      </c>
      <c r="H22" s="14" t="str">
        <f t="shared" si="1"/>
        <v>No</v>
      </c>
      <c r="I22" s="14">
        <f>_xlfn.XLOOKUP(A22,'Product Master'!$A:$A,'Product Master'!$C:$C,,0)</f>
        <v>3</v>
      </c>
    </row>
    <row r="23" spans="1:9" ht="15.75">
      <c r="A23" s="8" t="s">
        <v>1</v>
      </c>
      <c r="B23" s="14">
        <f>SUMIFS('Stock in-out'!$D:$D,'Stock in-out'!$B:$B,"Opening stock",'Stock in-out'!$A:$A,'Stock in-out'!A4)</f>
        <v>61</v>
      </c>
      <c r="C23" s="14">
        <f>SUMIFS('Stock in-out'!$D:$D,'Stock in-out'!$B:$B,"In",'Stock in-out'!$A:$A,A23)</f>
        <v>0</v>
      </c>
      <c r="D23" s="14">
        <f>SUMIFS('Stock in-out'!$D:$D,'Stock in-out'!$B:$B,"Out",'Stock in-out'!$A:$A,A23)</f>
        <v>0</v>
      </c>
      <c r="E23" s="14">
        <f t="shared" si="0"/>
        <v>61</v>
      </c>
      <c r="F23" s="15">
        <f>_xlfn.XLOOKUP(Inventory!A4,'Product Master'!$A:$A,'Product Master'!$B:$B,,0)*E23</f>
        <v>908.29264069264127</v>
      </c>
      <c r="G23" s="14">
        <f>_xlfn.XLOOKUP(A23,'Product Master'!$A:$A,'Product Master'!$D:$D,,0)</f>
        <v>5</v>
      </c>
      <c r="H23" s="14" t="str">
        <f t="shared" si="1"/>
        <v>No</v>
      </c>
      <c r="I23" s="14">
        <f>_xlfn.XLOOKUP(A23,'Product Master'!$A:$A,'Product Master'!$C:$C,,0)</f>
        <v>1</v>
      </c>
    </row>
    <row r="24" spans="1:9" ht="15.75">
      <c r="A24" s="8" t="s">
        <v>0</v>
      </c>
      <c r="B24" s="14">
        <f>SUMIFS('Stock in-out'!$D:$D,'Stock in-out'!$B:$B,"Opening stock",'Stock in-out'!$A:$A,'Stock in-out'!A3)</f>
        <v>35</v>
      </c>
      <c r="C24" s="14">
        <f>SUMIFS('Stock in-out'!$D:$D,'Stock in-out'!$B:$B,"In",'Stock in-out'!$A:$A,A24)</f>
        <v>0</v>
      </c>
      <c r="D24" s="14">
        <f>SUMIFS('Stock in-out'!$D:$D,'Stock in-out'!$B:$B,"Out",'Stock in-out'!$A:$A,A24)</f>
        <v>0</v>
      </c>
      <c r="E24" s="14">
        <f t="shared" si="0"/>
        <v>35</v>
      </c>
      <c r="F24" s="15">
        <f>_xlfn.XLOOKUP(Inventory!A3,'Product Master'!$A:$A,'Product Master'!$B:$B,,0)*E24</f>
        <v>719.33333333333496</v>
      </c>
      <c r="G24" s="14">
        <f>_xlfn.XLOOKUP(A24,'Product Master'!$A:$A,'Product Master'!$D:$D,,0)</f>
        <v>5</v>
      </c>
      <c r="H24" s="14" t="str">
        <f t="shared" si="1"/>
        <v>No</v>
      </c>
      <c r="I24" s="14">
        <f>_xlfn.XLOOKUP(A24,'Product Master'!$A:$A,'Product Master'!$C:$C,,0)</f>
        <v>2</v>
      </c>
    </row>
    <row r="25" spans="1:9" ht="15.75">
      <c r="A25" s="8" t="s">
        <v>40</v>
      </c>
      <c r="B25" s="14">
        <f>SUMIFS('Stock in-out'!$D:$D,'Stock in-out'!$B:$B,"Opening stock",'Stock in-out'!$A:$A,'Stock in-out'!A2)</f>
        <v>32</v>
      </c>
      <c r="C25" s="14">
        <f>SUMIFS('Stock in-out'!$D:$D,'Stock in-out'!$B:$B,"In",'Stock in-out'!$A:$A,A25)</f>
        <v>0</v>
      </c>
      <c r="D25" s="14">
        <f>SUMIFS('Stock in-out'!$D:$D,'Stock in-out'!$B:$B,"Out",'Stock in-out'!$A:$A,A25)</f>
        <v>0</v>
      </c>
      <c r="E25" s="14">
        <f t="shared" si="0"/>
        <v>32</v>
      </c>
      <c r="F25" s="15">
        <f>_xlfn.XLOOKUP(Inventory!A2,'Product Master'!$A:$A,'Product Master'!$B:$B,,0)*E25</f>
        <v>64</v>
      </c>
      <c r="G25" s="14">
        <f>_xlfn.XLOOKUP(A25,'Product Master'!$A:$A,'Product Master'!$D:$D,,0)</f>
        <v>5</v>
      </c>
      <c r="H25" s="14" t="str">
        <f t="shared" si="1"/>
        <v>No</v>
      </c>
      <c r="I25" s="14">
        <f>_xlfn.XLOOKUP(A25,'Product Master'!$A:$A,'Product Master'!$C:$C,,0)</f>
        <v>3</v>
      </c>
    </row>
    <row r="26" spans="1:9" ht="15.75">
      <c r="A26" s="8" t="s">
        <v>14</v>
      </c>
      <c r="B26" s="14">
        <v>32</v>
      </c>
      <c r="C26" s="14">
        <f>SUMIFS('Stock in-out'!$D:$D,'Stock in-out'!$B:$B,"In",'Stock in-out'!$A:$A,A26)</f>
        <v>0</v>
      </c>
      <c r="D26" s="14">
        <f>SUMIFS('Stock in-out'!$D:$D,'Stock in-out'!$B:$B,"Out",'Stock in-out'!$A:$A,A26)</f>
        <v>0</v>
      </c>
      <c r="E26" s="14">
        <f t="shared" si="0"/>
        <v>32</v>
      </c>
      <c r="F26" s="15">
        <f>_xlfn.XLOOKUP(Inventory!A18,'Product Master'!$A:$A,'Product Master'!$B:$B,,0)*E26</f>
        <v>32</v>
      </c>
      <c r="G26" s="14">
        <f>_xlfn.XLOOKUP(A26,'Product Master'!$A:$A,'Product Master'!$D:$D,,0)</f>
        <v>5</v>
      </c>
      <c r="H26" s="14" t="str">
        <f t="shared" si="1"/>
        <v>No</v>
      </c>
      <c r="I26" s="14">
        <f>_xlfn.XLOOKUP(A26,'Product Master'!$A:$A,'Product Master'!$C:$C,,0)</f>
        <v>1</v>
      </c>
    </row>
    <row r="27" spans="1:9" ht="15.75">
      <c r="A27" s="8" t="s">
        <v>79</v>
      </c>
      <c r="B27" s="14">
        <v>1</v>
      </c>
      <c r="C27" s="14">
        <f>SUMIFS('Stock in-out'!$D:$D,'Stock in-out'!$B:$B,"In",'Stock in-out'!$A:$A,A27)</f>
        <v>12</v>
      </c>
      <c r="D27" s="14">
        <f>SUMIFS('Stock in-out'!$D:$D,'Stock in-out'!$B:$B,"Out",'Stock in-out'!$A:$A,A27)</f>
        <v>0</v>
      </c>
      <c r="E27" s="14">
        <f t="shared" si="0"/>
        <v>13</v>
      </c>
      <c r="F27" s="15">
        <f>_xlfn.XLOOKUP(Inventory!A58,'Product Master'!$A:$A,'Product Master'!$B:$B,,0)*E27</f>
        <v>289.26406926406986</v>
      </c>
      <c r="G27" s="14">
        <f>_xlfn.XLOOKUP(A27,'Product Master'!$A:$A,'Product Master'!$D:$D,,0)</f>
        <v>2</v>
      </c>
      <c r="H27" s="14" t="str">
        <f t="shared" si="1"/>
        <v>No</v>
      </c>
      <c r="I27" s="14">
        <f>_xlfn.XLOOKUP(A27,'Product Master'!$A:$A,'Product Master'!$C:$C,,0)</f>
        <v>2</v>
      </c>
    </row>
    <row r="28" spans="1:9" ht="15.75">
      <c r="A28" s="8" t="s">
        <v>15</v>
      </c>
      <c r="B28" s="14">
        <v>35</v>
      </c>
      <c r="C28" s="14">
        <f>SUMIFS('Stock in-out'!$D:$D,'Stock in-out'!$B:$B,"In",'Stock in-out'!$A:$A,A28)</f>
        <v>0</v>
      </c>
      <c r="D28" s="14">
        <f>SUMIFS('Stock in-out'!$D:$D,'Stock in-out'!$B:$B,"Out",'Stock in-out'!$A:$A,A28)</f>
        <v>0</v>
      </c>
      <c r="E28" s="14">
        <f t="shared" si="0"/>
        <v>35</v>
      </c>
      <c r="F28" s="15">
        <f>_xlfn.XLOOKUP(Inventory!A19,'Product Master'!$A:$A,'Product Master'!$B:$B,,0)*E28</f>
        <v>1155</v>
      </c>
      <c r="G28" s="14">
        <f>_xlfn.XLOOKUP(A28,'Product Master'!$A:$A,'Product Master'!$D:$D,,0)</f>
        <v>6</v>
      </c>
      <c r="H28" s="14" t="str">
        <f t="shared" si="1"/>
        <v>No</v>
      </c>
      <c r="I28" s="14">
        <f>_xlfn.XLOOKUP(A28,'Product Master'!$A:$A,'Product Master'!$C:$C,,0)</f>
        <v>3</v>
      </c>
    </row>
    <row r="29" spans="1:9" ht="15.75">
      <c r="A29" s="8" t="s">
        <v>64</v>
      </c>
      <c r="B29" s="14">
        <v>3</v>
      </c>
      <c r="C29" s="14">
        <f>SUMIFS('Stock in-out'!$D:$D,'Stock in-out'!$B:$B,"In",'Stock in-out'!$A:$A,A29)</f>
        <v>0</v>
      </c>
      <c r="D29" s="14">
        <f>SUMIFS('Stock in-out'!$D:$D,'Stock in-out'!$B:$B,"Out",'Stock in-out'!$A:$A,A29)</f>
        <v>0</v>
      </c>
      <c r="E29" s="14">
        <f t="shared" si="0"/>
        <v>3</v>
      </c>
      <c r="F29" s="15">
        <f>_xlfn.XLOOKUP(Inventory!A43,'Product Master'!$A:$A,'Product Master'!$B:$B,,0)*E29</f>
        <v>63</v>
      </c>
      <c r="G29" s="14">
        <f>_xlfn.XLOOKUP(A29,'Product Master'!$A:$A,'Product Master'!$D:$D,,0)</f>
        <v>2</v>
      </c>
      <c r="H29" s="14" t="str">
        <f t="shared" si="1"/>
        <v>No</v>
      </c>
      <c r="I29" s="14">
        <f>_xlfn.XLOOKUP(A29,'Product Master'!$A:$A,'Product Master'!$C:$C,,0)</f>
        <v>7</v>
      </c>
    </row>
    <row r="30" spans="1:9" ht="15.75">
      <c r="A30" s="8" t="s">
        <v>63</v>
      </c>
      <c r="B30" s="14">
        <v>1</v>
      </c>
      <c r="C30" s="14">
        <f>SUMIFS('Stock in-out'!$D:$D,'Stock in-out'!$B:$B,"In",'Stock in-out'!$A:$A,A30)</f>
        <v>12</v>
      </c>
      <c r="D30" s="14">
        <f>SUMIFS('Stock in-out'!$D:$D,'Stock in-out'!$B:$B,"Out",'Stock in-out'!$A:$A,A30)</f>
        <v>0</v>
      </c>
      <c r="E30" s="14">
        <f t="shared" si="0"/>
        <v>13</v>
      </c>
      <c r="F30" s="15">
        <f>_xlfn.XLOOKUP(Inventory!A42,'Product Master'!$A:$A,'Product Master'!$B:$B,,0)*E30</f>
        <v>237.73679653679673</v>
      </c>
      <c r="G30" s="14">
        <f>_xlfn.XLOOKUP(A30,'Product Master'!$A:$A,'Product Master'!$D:$D,,0)</f>
        <v>2</v>
      </c>
      <c r="H30" s="14" t="str">
        <f t="shared" si="1"/>
        <v>No</v>
      </c>
      <c r="I30" s="14">
        <f>_xlfn.XLOOKUP(A30,'Product Master'!$A:$A,'Product Master'!$C:$C,,0)</f>
        <v>2</v>
      </c>
    </row>
    <row r="31" spans="1:9" ht="15.75">
      <c r="A31" s="8" t="s">
        <v>50</v>
      </c>
      <c r="B31" s="14">
        <v>635</v>
      </c>
      <c r="C31" s="14">
        <f>SUMIFS('Stock in-out'!$D:$D,'Stock in-out'!$B:$B,"In",'Stock in-out'!$A:$A,A31)</f>
        <v>0</v>
      </c>
      <c r="D31" s="14">
        <f>SUMIFS('Stock in-out'!$D:$D,'Stock in-out'!$B:$B,"Out",'Stock in-out'!$A:$A,A31)</f>
        <v>0</v>
      </c>
      <c r="E31" s="14">
        <f t="shared" si="0"/>
        <v>635</v>
      </c>
      <c r="F31" s="15">
        <f>_xlfn.XLOOKUP(Inventory!A29,'Product Master'!$A:$A,'Product Master'!$B:$B,,0)*E31</f>
        <v>10713.632034632052</v>
      </c>
      <c r="G31" s="14">
        <f>_xlfn.XLOOKUP(A31,'Product Master'!$A:$A,'Product Master'!$D:$D,,0)</f>
        <v>2</v>
      </c>
      <c r="H31" s="14" t="str">
        <f t="shared" si="1"/>
        <v>No</v>
      </c>
      <c r="I31" s="14">
        <f>_xlfn.XLOOKUP(A31,'Product Master'!$A:$A,'Product Master'!$C:$C,,0)</f>
        <v>3</v>
      </c>
    </row>
    <row r="32" spans="1:9" ht="15.75">
      <c r="A32" s="8" t="s">
        <v>55</v>
      </c>
      <c r="B32" s="14">
        <v>32</v>
      </c>
      <c r="C32" s="14">
        <f>SUMIFS('Stock in-out'!$D:$D,'Stock in-out'!$B:$B,"In",'Stock in-out'!$A:$A,A32)</f>
        <v>0</v>
      </c>
      <c r="D32" s="14">
        <f>SUMIFS('Stock in-out'!$D:$D,'Stock in-out'!$B:$B,"Out",'Stock in-out'!$A:$A,A32)</f>
        <v>0</v>
      </c>
      <c r="E32" s="14">
        <f t="shared" si="0"/>
        <v>32</v>
      </c>
      <c r="F32" s="15">
        <f>_xlfn.XLOOKUP(Inventory!A34,'Product Master'!$A:$A,'Product Master'!$B:$B,,0)*E32</f>
        <v>376.82424242424321</v>
      </c>
      <c r="G32" s="14">
        <f>_xlfn.XLOOKUP(A32,'Product Master'!$A:$A,'Product Master'!$D:$D,,0)</f>
        <v>2</v>
      </c>
      <c r="H32" s="14" t="str">
        <f t="shared" si="1"/>
        <v>No</v>
      </c>
      <c r="I32" s="14">
        <f>_xlfn.XLOOKUP(A32,'Product Master'!$A:$A,'Product Master'!$C:$C,,0)</f>
        <v>1</v>
      </c>
    </row>
    <row r="33" spans="1:9" ht="15.75">
      <c r="A33" s="8" t="s">
        <v>10</v>
      </c>
      <c r="B33" s="14">
        <f>SUMIFS('Stock in-out'!$D:$D,'Stock in-out'!$B:$B,"Opening stock",'Stock in-out'!$A:$A,'Stock in-out'!A14)</f>
        <v>13</v>
      </c>
      <c r="C33" s="14">
        <f>SUMIFS('Stock in-out'!$D:$D,'Stock in-out'!$B:$B,"In",'Stock in-out'!$A:$A,A33)</f>
        <v>0</v>
      </c>
      <c r="D33" s="14">
        <f>SUMIFS('Stock in-out'!$D:$D,'Stock in-out'!$B:$B,"Out",'Stock in-out'!$A:$A,A33)</f>
        <v>0</v>
      </c>
      <c r="E33" s="14">
        <f t="shared" si="0"/>
        <v>13</v>
      </c>
      <c r="F33" s="15">
        <f>_xlfn.XLOOKUP(Inventory!A14,'Product Master'!$A:$A,'Product Master'!$B:$B,,0)*E33</f>
        <v>230.3757575757586</v>
      </c>
      <c r="G33" s="14">
        <f>_xlfn.XLOOKUP(A33,'Product Master'!$A:$A,'Product Master'!$D:$D,,0)</f>
        <v>5</v>
      </c>
      <c r="H33" s="14" t="str">
        <f t="shared" si="1"/>
        <v>No</v>
      </c>
      <c r="I33" s="14">
        <f>_xlfn.XLOOKUP(A33,'Product Master'!$A:$A,'Product Master'!$C:$C,,0)</f>
        <v>2</v>
      </c>
    </row>
    <row r="34" spans="1:9" ht="15.75">
      <c r="A34" s="8" t="s">
        <v>46</v>
      </c>
      <c r="B34" s="14">
        <v>16</v>
      </c>
      <c r="C34" s="14">
        <f>SUMIFS('Stock in-out'!$D:$D,'Stock in-out'!$B:$B,"In",'Stock in-out'!$A:$A,A34)</f>
        <v>0</v>
      </c>
      <c r="D34" s="14">
        <f>SUMIFS('Stock in-out'!$D:$D,'Stock in-out'!$B:$B,"Out",'Stock in-out'!$A:$A,A34)</f>
        <v>0</v>
      </c>
      <c r="E34" s="14">
        <f t="shared" ref="E34:E62" si="2">B34+C34-D34</f>
        <v>16</v>
      </c>
      <c r="F34" s="15">
        <f>_xlfn.XLOOKUP(Inventory!A25,'Product Master'!$A:$A,'Product Master'!$B:$B,,0)*E34</f>
        <v>32</v>
      </c>
      <c r="G34" s="14">
        <f>_xlfn.XLOOKUP(A34,'Product Master'!$A:$A,'Product Master'!$D:$D,,0)</f>
        <v>2</v>
      </c>
      <c r="H34" s="14" t="str">
        <f t="shared" ref="H34:H62" si="3">IF(G34&gt;=E34,"Yes","No")</f>
        <v>No</v>
      </c>
      <c r="I34" s="14">
        <f>_xlfn.XLOOKUP(A34,'Product Master'!$A:$A,'Product Master'!$C:$C,,0)</f>
        <v>3</v>
      </c>
    </row>
    <row r="35" spans="1:9" ht="15.75">
      <c r="A35" s="8" t="s">
        <v>73</v>
      </c>
      <c r="B35" s="14">
        <v>61</v>
      </c>
      <c r="C35" s="14">
        <f>SUMIFS('Stock in-out'!$D:$D,'Stock in-out'!$B:$B,"In",'Stock in-out'!$A:$A,A35)</f>
        <v>0</v>
      </c>
      <c r="D35" s="14">
        <f>SUMIFS('Stock in-out'!$D:$D,'Stock in-out'!$B:$B,"Out",'Stock in-out'!$A:$A,A35)</f>
        <v>0</v>
      </c>
      <c r="E35" s="14">
        <f t="shared" si="2"/>
        <v>61</v>
      </c>
      <c r="F35" s="15">
        <f>_xlfn.XLOOKUP(Inventory!A52,'Product Master'!$A:$A,'Product Master'!$B:$B,,0)*E35</f>
        <v>1340.0458874458895</v>
      </c>
      <c r="G35" s="14">
        <f>_xlfn.XLOOKUP(A35,'Product Master'!$A:$A,'Product Master'!$D:$D,,0)</f>
        <v>2</v>
      </c>
      <c r="H35" s="14" t="str">
        <f t="shared" si="3"/>
        <v>No</v>
      </c>
      <c r="I35" s="14">
        <f>_xlfn.XLOOKUP(A35,'Product Master'!$A:$A,'Product Master'!$C:$C,,0)</f>
        <v>1</v>
      </c>
    </row>
    <row r="36" spans="1:9" ht="15.75">
      <c r="A36" s="8" t="s">
        <v>11</v>
      </c>
      <c r="B36" s="14">
        <f>SUMIFS('Stock in-out'!$D:$D,'Stock in-out'!$B:$B,"Opening stock",'Stock in-out'!$A:$A,'Stock in-out'!A15)</f>
        <v>513</v>
      </c>
      <c r="C36" s="14">
        <f>SUMIFS('Stock in-out'!$D:$D,'Stock in-out'!$B:$B,"In",'Stock in-out'!$A:$A,A36)</f>
        <v>0</v>
      </c>
      <c r="D36" s="14">
        <f>SUMIFS('Stock in-out'!$D:$D,'Stock in-out'!$B:$B,"Out",'Stock in-out'!$A:$A,A36)</f>
        <v>0</v>
      </c>
      <c r="E36" s="14">
        <f t="shared" si="2"/>
        <v>513</v>
      </c>
      <c r="F36" s="15">
        <f>_xlfn.XLOOKUP(Inventory!A15,'Product Master'!$A:$A,'Product Master'!$B:$B,,0)*E36</f>
        <v>10688.610389610423</v>
      </c>
      <c r="G36" s="14">
        <f>_xlfn.XLOOKUP(A36,'Product Master'!$A:$A,'Product Master'!$D:$D,,0)</f>
        <v>5</v>
      </c>
      <c r="H36" s="14" t="str">
        <f t="shared" si="3"/>
        <v>No</v>
      </c>
      <c r="I36" s="14">
        <f>_xlfn.XLOOKUP(A36,'Product Master'!$A:$A,'Product Master'!$C:$C,,0)</f>
        <v>2</v>
      </c>
    </row>
    <row r="37" spans="1:9" ht="15.75">
      <c r="A37" s="8" t="s">
        <v>75</v>
      </c>
      <c r="B37" s="14">
        <v>224</v>
      </c>
      <c r="C37" s="14">
        <f>SUMIFS('Stock in-out'!$D:$D,'Stock in-out'!$B:$B,"In",'Stock in-out'!$A:$A,A37)</f>
        <v>0</v>
      </c>
      <c r="D37" s="14">
        <f>SUMIFS('Stock in-out'!$D:$D,'Stock in-out'!$B:$B,"Out",'Stock in-out'!$A:$A,A37)</f>
        <v>0</v>
      </c>
      <c r="E37" s="14">
        <f t="shared" si="2"/>
        <v>224</v>
      </c>
      <c r="F37" s="15">
        <f>_xlfn.XLOOKUP(Inventory!A54,'Product Master'!$A:$A,'Product Master'!$B:$B,,0)*E37</f>
        <v>3081.6969696969791</v>
      </c>
      <c r="G37" s="14">
        <f>_xlfn.XLOOKUP(A37,'Product Master'!$A:$A,'Product Master'!$D:$D,,0)</f>
        <v>2</v>
      </c>
      <c r="H37" s="14" t="str">
        <f t="shared" si="3"/>
        <v>No</v>
      </c>
      <c r="I37" s="14">
        <f>_xlfn.XLOOKUP(A37,'Product Master'!$A:$A,'Product Master'!$C:$C,,0)</f>
        <v>3</v>
      </c>
    </row>
    <row r="38" spans="1:9" ht="15.75">
      <c r="A38" s="8" t="s">
        <v>43</v>
      </c>
      <c r="B38" s="14">
        <v>224</v>
      </c>
      <c r="C38" s="14">
        <f>SUMIFS('Stock in-out'!$D:$D,'Stock in-out'!$B:$B,"In",'Stock in-out'!$A:$A,A38)</f>
        <v>0</v>
      </c>
      <c r="D38" s="14">
        <f>SUMIFS('Stock in-out'!$D:$D,'Stock in-out'!$B:$B,"Out",'Stock in-out'!$A:$A,A38)</f>
        <v>0</v>
      </c>
      <c r="E38" s="14">
        <f t="shared" si="2"/>
        <v>224</v>
      </c>
      <c r="F38" s="15">
        <f>_xlfn.XLOOKUP(Inventory!A22,'Product Master'!$A:$A,'Product Master'!$B:$B,,0)*E38</f>
        <v>448</v>
      </c>
      <c r="G38" s="14">
        <f>_xlfn.XLOOKUP(A38,'Product Master'!$A:$A,'Product Master'!$D:$D,,0)</f>
        <v>2</v>
      </c>
      <c r="H38" s="14" t="str">
        <f t="shared" si="3"/>
        <v>No</v>
      </c>
      <c r="I38" s="14">
        <f>_xlfn.XLOOKUP(A38,'Product Master'!$A:$A,'Product Master'!$C:$C,,0)</f>
        <v>1</v>
      </c>
    </row>
    <row r="39" spans="1:9" ht="15.75">
      <c r="A39" s="8" t="s">
        <v>62</v>
      </c>
      <c r="B39" s="14">
        <v>16</v>
      </c>
      <c r="C39" s="14">
        <f>SUMIFS('Stock in-out'!$D:$D,'Stock in-out'!$B:$B,"In",'Stock in-out'!$A:$A,A39)</f>
        <v>0</v>
      </c>
      <c r="D39" s="14">
        <f>SUMIFS('Stock in-out'!$D:$D,'Stock in-out'!$B:$B,"Out",'Stock in-out'!$A:$A,A39)</f>
        <v>0</v>
      </c>
      <c r="E39" s="14">
        <f t="shared" si="2"/>
        <v>16</v>
      </c>
      <c r="F39" s="15">
        <f>_xlfn.XLOOKUP(Inventory!A41,'Product Master'!$A:$A,'Product Master'!$B:$B,,0)*E39</f>
        <v>192.94199134199201</v>
      </c>
      <c r="G39" s="14">
        <f>_xlfn.XLOOKUP(A39,'Product Master'!$A:$A,'Product Master'!$D:$D,,0)</f>
        <v>2</v>
      </c>
      <c r="H39" s="14" t="str">
        <f t="shared" si="3"/>
        <v>No</v>
      </c>
      <c r="I39" s="14">
        <f>_xlfn.XLOOKUP(A39,'Product Master'!$A:$A,'Product Master'!$C:$C,,0)</f>
        <v>2</v>
      </c>
    </row>
    <row r="40" spans="1:9" ht="15.75">
      <c r="A40" s="8" t="s">
        <v>80</v>
      </c>
      <c r="B40" s="14">
        <v>3</v>
      </c>
      <c r="C40" s="14">
        <f>SUMIFS('Stock in-out'!$D:$D,'Stock in-out'!$B:$B,"In",'Stock in-out'!$A:$A,A40)</f>
        <v>0</v>
      </c>
      <c r="D40" s="14">
        <f>SUMIFS('Stock in-out'!$D:$D,'Stock in-out'!$B:$B,"Out",'Stock in-out'!$A:$A,A40)</f>
        <v>0</v>
      </c>
      <c r="E40" s="14">
        <f t="shared" si="2"/>
        <v>3</v>
      </c>
      <c r="F40" s="15">
        <f>_xlfn.XLOOKUP(Inventory!A59,'Product Master'!$A:$A,'Product Master'!$B:$B,,0)*E40</f>
        <v>54.012987012987004</v>
      </c>
      <c r="G40" s="14">
        <f>_xlfn.XLOOKUP(A40,'Product Master'!$A:$A,'Product Master'!$D:$D,,0)</f>
        <v>2</v>
      </c>
      <c r="H40" s="14" t="str">
        <f t="shared" si="3"/>
        <v>No</v>
      </c>
      <c r="I40" s="14">
        <f>_xlfn.XLOOKUP(A40,'Product Master'!$A:$A,'Product Master'!$C:$C,,0)</f>
        <v>3</v>
      </c>
    </row>
    <row r="41" spans="1:9" ht="15.75">
      <c r="A41" s="8" t="s">
        <v>47</v>
      </c>
      <c r="B41" s="14">
        <v>1</v>
      </c>
      <c r="C41" s="14">
        <f>SUMIFS('Stock in-out'!$D:$D,'Stock in-out'!$B:$B,"In",'Stock in-out'!$A:$A,A41)</f>
        <v>0</v>
      </c>
      <c r="D41" s="14">
        <f>SUMIFS('Stock in-out'!$D:$D,'Stock in-out'!$B:$B,"Out",'Stock in-out'!$A:$A,A41)</f>
        <v>0</v>
      </c>
      <c r="E41" s="14">
        <f t="shared" si="2"/>
        <v>1</v>
      </c>
      <c r="F41" s="15">
        <f>_xlfn.XLOOKUP(Inventory!A26,'Product Master'!$A:$A,'Product Master'!$B:$B,,0)*E41</f>
        <v>1</v>
      </c>
      <c r="G41" s="14">
        <f>_xlfn.XLOOKUP(A41,'Product Master'!$A:$A,'Product Master'!$D:$D,,0)</f>
        <v>2</v>
      </c>
      <c r="H41" s="14" t="str">
        <f t="shared" si="3"/>
        <v>Yes</v>
      </c>
      <c r="I41" s="14">
        <f>_xlfn.XLOOKUP(A41,'Product Master'!$A:$A,'Product Master'!$C:$C,,0)</f>
        <v>1</v>
      </c>
    </row>
    <row r="42" spans="1:9" ht="15.75">
      <c r="A42" s="8" t="s">
        <v>69</v>
      </c>
      <c r="B42" s="14">
        <v>1</v>
      </c>
      <c r="C42" s="14">
        <f>SUMIFS('Stock in-out'!$D:$D,'Stock in-out'!$B:$B,"In",'Stock in-out'!$A:$A,A42)</f>
        <v>0</v>
      </c>
      <c r="D42" s="14">
        <f>SUMIFS('Stock in-out'!$D:$D,'Stock in-out'!$B:$B,"Out",'Stock in-out'!$A:$A,A42)</f>
        <v>0</v>
      </c>
      <c r="E42" s="14">
        <f t="shared" si="2"/>
        <v>1</v>
      </c>
      <c r="F42" s="15">
        <f>_xlfn.XLOOKUP(Inventory!A48,'Product Master'!$A:$A,'Product Master'!$B:$B,,0)*E42</f>
        <v>1</v>
      </c>
      <c r="G42" s="14">
        <f>_xlfn.XLOOKUP(A42,'Product Master'!$A:$A,'Product Master'!$D:$D,,0)</f>
        <v>2</v>
      </c>
      <c r="H42" s="14" t="str">
        <f t="shared" si="3"/>
        <v>Yes</v>
      </c>
      <c r="I42" s="14">
        <f>_xlfn.XLOOKUP(A42,'Product Master'!$A:$A,'Product Master'!$C:$C,,0)</f>
        <v>2</v>
      </c>
    </row>
    <row r="43" spans="1:9" ht="15.75">
      <c r="A43" s="8" t="s">
        <v>12</v>
      </c>
      <c r="B43" s="14">
        <f>SUMIFS('Stock in-out'!$D:$D,'Stock in-out'!$B:$B,"Opening stock",'Stock in-out'!$A:$A,'Stock in-out'!A16)</f>
        <v>1</v>
      </c>
      <c r="C43" s="14">
        <f>SUMIFS('Stock in-out'!$D:$D,'Stock in-out'!$B:$B,"In",'Stock in-out'!$A:$A,A43)</f>
        <v>0</v>
      </c>
      <c r="D43" s="14">
        <f>SUMIFS('Stock in-out'!$D:$D,'Stock in-out'!$B:$B,"Out",'Stock in-out'!$A:$A,A43)</f>
        <v>0</v>
      </c>
      <c r="E43" s="14">
        <f t="shared" si="2"/>
        <v>1</v>
      </c>
      <c r="F43" s="15">
        <f>_xlfn.XLOOKUP(Inventory!A16,'Product Master'!$A:$A,'Product Master'!$B:$B,,0)*E43</f>
        <v>20.2692640692641</v>
      </c>
      <c r="G43" s="14">
        <f>_xlfn.XLOOKUP(A43,'Product Master'!$A:$A,'Product Master'!$D:$D,,0)</f>
        <v>5</v>
      </c>
      <c r="H43" s="14" t="str">
        <f t="shared" si="3"/>
        <v>Yes</v>
      </c>
      <c r="I43" s="14">
        <f>_xlfn.XLOOKUP(A43,'Product Master'!$A:$A,'Product Master'!$C:$C,,0)</f>
        <v>3</v>
      </c>
    </row>
    <row r="44" spans="1:9" ht="15.75">
      <c r="A44" s="8" t="s">
        <v>74</v>
      </c>
      <c r="B44" s="14">
        <v>6</v>
      </c>
      <c r="C44" s="14">
        <f>SUMIFS('Stock in-out'!$D:$D,'Stock in-out'!$B:$B,"In",'Stock in-out'!$A:$A,A44)</f>
        <v>0</v>
      </c>
      <c r="D44" s="14">
        <f>SUMIFS('Stock in-out'!$D:$D,'Stock in-out'!$B:$B,"Out",'Stock in-out'!$A:$A,A44)</f>
        <v>0</v>
      </c>
      <c r="E44" s="14">
        <f t="shared" si="2"/>
        <v>6</v>
      </c>
      <c r="F44" s="15">
        <f>_xlfn.XLOOKUP(Inventory!A53,'Product Master'!$A:$A,'Product Master'!$B:$B,,0)*E44</f>
        <v>102.92987012987041</v>
      </c>
      <c r="G44" s="14">
        <f>_xlfn.XLOOKUP(A44,'Product Master'!$A:$A,'Product Master'!$D:$D,,0)</f>
        <v>2</v>
      </c>
      <c r="H44" s="14" t="str">
        <f t="shared" si="3"/>
        <v>No</v>
      </c>
      <c r="I44" s="14">
        <f>_xlfn.XLOOKUP(A44,'Product Master'!$A:$A,'Product Master'!$C:$C,,0)</f>
        <v>1</v>
      </c>
    </row>
    <row r="45" spans="1:9" ht="15.75">
      <c r="A45" s="8" t="s">
        <v>44</v>
      </c>
      <c r="B45" s="14">
        <v>32</v>
      </c>
      <c r="C45" s="14">
        <f>SUMIFS('Stock in-out'!$D:$D,'Stock in-out'!$B:$B,"In",'Stock in-out'!$A:$A,A45)</f>
        <v>0</v>
      </c>
      <c r="D45" s="14">
        <f>SUMIFS('Stock in-out'!$D:$D,'Stock in-out'!$B:$B,"Out",'Stock in-out'!$A:$A,A45)</f>
        <v>0</v>
      </c>
      <c r="E45" s="14">
        <f t="shared" si="2"/>
        <v>32</v>
      </c>
      <c r="F45" s="15">
        <f>_xlfn.XLOOKUP(Inventory!A23,'Product Master'!$A:$A,'Product Master'!$B:$B,,0)*E45</f>
        <v>128</v>
      </c>
      <c r="G45" s="14">
        <f>_xlfn.XLOOKUP(A45,'Product Master'!$A:$A,'Product Master'!$D:$D,,0)</f>
        <v>2</v>
      </c>
      <c r="H45" s="14" t="str">
        <f t="shared" si="3"/>
        <v>No</v>
      </c>
      <c r="I45" s="14">
        <f>_xlfn.XLOOKUP(A45,'Product Master'!$A:$A,'Product Master'!$C:$C,,0)</f>
        <v>2</v>
      </c>
    </row>
    <row r="46" spans="1:9" ht="15.75">
      <c r="A46" s="8" t="s">
        <v>52</v>
      </c>
      <c r="B46" s="14">
        <v>513</v>
      </c>
      <c r="C46" s="14">
        <f>SUMIFS('Stock in-out'!$D:$D,'Stock in-out'!$B:$B,"In",'Stock in-out'!$A:$A,A46)</f>
        <v>0</v>
      </c>
      <c r="D46" s="14">
        <f>SUMIFS('Stock in-out'!$D:$D,'Stock in-out'!$B:$B,"Out",'Stock in-out'!$A:$A,A46)</f>
        <v>0</v>
      </c>
      <c r="E46" s="14">
        <f t="shared" si="2"/>
        <v>513</v>
      </c>
      <c r="F46" s="15">
        <f>_xlfn.XLOOKUP(Inventory!A31,'Product Master'!$A:$A,'Product Master'!$B:$B,,0)*E46</f>
        <v>6621.9194805194766</v>
      </c>
      <c r="G46" s="14">
        <f>_xlfn.XLOOKUP(A46,'Product Master'!$A:$A,'Product Master'!$D:$D,,0)</f>
        <v>2</v>
      </c>
      <c r="H46" s="14" t="str">
        <f t="shared" si="3"/>
        <v>No</v>
      </c>
      <c r="I46" s="14">
        <f>_xlfn.XLOOKUP(A46,'Product Master'!$A:$A,'Product Master'!$C:$C,,0)</f>
        <v>3</v>
      </c>
    </row>
    <row r="47" spans="1:9" ht="15.75">
      <c r="A47" s="8" t="s">
        <v>48</v>
      </c>
      <c r="B47" s="14">
        <v>3</v>
      </c>
      <c r="C47" s="14">
        <f>SUMIFS('Stock in-out'!$D:$D,'Stock in-out'!$B:$B,"In",'Stock in-out'!$A:$A,A47)</f>
        <v>0</v>
      </c>
      <c r="D47" s="14">
        <f>SUMIFS('Stock in-out'!$D:$D,'Stock in-out'!$B:$B,"Out",'Stock in-out'!$A:$A,A47)</f>
        <v>0</v>
      </c>
      <c r="E47" s="14">
        <f t="shared" si="2"/>
        <v>3</v>
      </c>
      <c r="F47" s="15">
        <f>_xlfn.XLOOKUP(Inventory!A27,'Product Master'!$A:$A,'Product Master'!$B:$B,,0)*E47</f>
        <v>63.355844155844402</v>
      </c>
      <c r="G47" s="14">
        <f>_xlfn.XLOOKUP(A47,'Product Master'!$A:$A,'Product Master'!$D:$D,,0)</f>
        <v>2</v>
      </c>
      <c r="H47" s="14" t="str">
        <f t="shared" si="3"/>
        <v>No</v>
      </c>
      <c r="I47" s="14">
        <f>_xlfn.XLOOKUP(A47,'Product Master'!$A:$A,'Product Master'!$C:$C,,0)</f>
        <v>1</v>
      </c>
    </row>
    <row r="48" spans="1:9" ht="15.75">
      <c r="A48" s="8" t="s">
        <v>9</v>
      </c>
      <c r="B48" s="14">
        <f>SUMIFS('Stock in-out'!$D:$D,'Stock in-out'!$B:$B,"Opening stock",'Stock in-out'!$A:$A,'Stock in-out'!A12)</f>
        <v>51</v>
      </c>
      <c r="C48" s="14">
        <f>SUMIFS('Stock in-out'!$D:$D,'Stock in-out'!$B:$B,"In",'Stock in-out'!$A:$A,A48)</f>
        <v>0</v>
      </c>
      <c r="D48" s="14">
        <f>SUMIFS('Stock in-out'!$D:$D,'Stock in-out'!$B:$B,"Out",'Stock in-out'!$A:$A,A48)</f>
        <v>0</v>
      </c>
      <c r="E48" s="14">
        <f t="shared" si="2"/>
        <v>51</v>
      </c>
      <c r="F48" s="15">
        <f>_xlfn.XLOOKUP(Inventory!A12,'Product Master'!$A:$A,'Product Master'!$B:$B,,0)*E48</f>
        <v>802.70909090909402</v>
      </c>
      <c r="G48" s="14">
        <f>_xlfn.XLOOKUP(A48,'Product Master'!$A:$A,'Product Master'!$D:$D,,0)</f>
        <v>5</v>
      </c>
      <c r="H48" s="14" t="str">
        <f t="shared" si="3"/>
        <v>No</v>
      </c>
      <c r="I48" s="14">
        <f>_xlfn.XLOOKUP(A48,'Product Master'!$A:$A,'Product Master'!$C:$C,,0)</f>
        <v>2</v>
      </c>
    </row>
    <row r="49" spans="1:9" ht="15.75">
      <c r="A49" s="8" t="s">
        <v>8</v>
      </c>
      <c r="B49" s="14">
        <f>SUMIFS('Stock in-out'!$D:$D,'Stock in-out'!$B:$B,"Opening stock",'Stock in-out'!$A:$A,'Stock in-out'!A11)</f>
        <v>3</v>
      </c>
      <c r="C49" s="14">
        <f>SUMIFS('Stock in-out'!$D:$D,'Stock in-out'!$B:$B,"In",'Stock in-out'!$A:$A,A49)</f>
        <v>0</v>
      </c>
      <c r="D49" s="14">
        <f>SUMIFS('Stock in-out'!$D:$D,'Stock in-out'!$B:$B,"Out",'Stock in-out'!$A:$A,A49)</f>
        <v>0</v>
      </c>
      <c r="E49" s="14">
        <f t="shared" si="2"/>
        <v>3</v>
      </c>
      <c r="F49" s="15">
        <f>_xlfn.XLOOKUP(Inventory!A11,'Product Master'!$A:$A,'Product Master'!$B:$B,,0)*E49</f>
        <v>48.0675324675327</v>
      </c>
      <c r="G49" s="14">
        <f>_xlfn.XLOOKUP(A49,'Product Master'!$A:$A,'Product Master'!$D:$D,,0)</f>
        <v>5</v>
      </c>
      <c r="H49" s="14" t="str">
        <f t="shared" si="3"/>
        <v>Yes</v>
      </c>
      <c r="I49" s="14">
        <f>_xlfn.XLOOKUP(A49,'Product Master'!$A:$A,'Product Master'!$C:$C,,0)</f>
        <v>3</v>
      </c>
    </row>
    <row r="50" spans="1:9" ht="15.75">
      <c r="A50" s="8" t="s">
        <v>7</v>
      </c>
      <c r="B50" s="14">
        <f>SUMIFS('Stock in-out'!$D:$D,'Stock in-out'!$B:$B,"Opening stock",'Stock in-out'!$A:$A,'Stock in-out'!A10)</f>
        <v>1</v>
      </c>
      <c r="C50" s="14">
        <f>SUMIFS('Stock in-out'!$D:$D,'Stock in-out'!$B:$B,"In",'Stock in-out'!$A:$A,A50)</f>
        <v>0</v>
      </c>
      <c r="D50" s="14">
        <f>SUMIFS('Stock in-out'!$D:$D,'Stock in-out'!$B:$B,"Out",'Stock in-out'!$A:$A,A50)</f>
        <v>0</v>
      </c>
      <c r="E50" s="14">
        <f t="shared" si="2"/>
        <v>1</v>
      </c>
      <c r="F50" s="15">
        <f>_xlfn.XLOOKUP(Inventory!A10,'Product Master'!$A:$A,'Product Master'!$B:$B,,0)*E50</f>
        <v>21.684848484848501</v>
      </c>
      <c r="G50" s="14">
        <f>_xlfn.XLOOKUP(A50,'Product Master'!$A:$A,'Product Master'!$D:$D,,0)</f>
        <v>5</v>
      </c>
      <c r="H50" s="14" t="str">
        <f t="shared" si="3"/>
        <v>Yes</v>
      </c>
      <c r="I50" s="14">
        <f>_xlfn.XLOOKUP(A50,'Product Master'!$A:$A,'Product Master'!$C:$C,,0)</f>
        <v>1</v>
      </c>
    </row>
    <row r="51" spans="1:9" ht="15.75">
      <c r="A51" s="8" t="s">
        <v>49</v>
      </c>
      <c r="B51" s="14">
        <v>51</v>
      </c>
      <c r="C51" s="14">
        <f>SUMIFS('Stock in-out'!$D:$D,'Stock in-out'!$B:$B,"In",'Stock in-out'!$A:$A,A51)</f>
        <v>0</v>
      </c>
      <c r="D51" s="14">
        <f>SUMIFS('Stock in-out'!$D:$D,'Stock in-out'!$B:$B,"Out",'Stock in-out'!$A:$A,A51)</f>
        <v>0</v>
      </c>
      <c r="E51" s="14">
        <f t="shared" si="2"/>
        <v>51</v>
      </c>
      <c r="F51" s="15">
        <f>_xlfn.XLOOKUP(Inventory!A28,'Product Master'!$A:$A,'Product Master'!$B:$B,,0)*E51</f>
        <v>1071</v>
      </c>
      <c r="G51" s="14">
        <f>_xlfn.XLOOKUP(A51,'Product Master'!$A:$A,'Product Master'!$D:$D,,0)</f>
        <v>2</v>
      </c>
      <c r="H51" s="14" t="str">
        <f t="shared" si="3"/>
        <v>No</v>
      </c>
      <c r="I51" s="14">
        <f>_xlfn.XLOOKUP(A51,'Product Master'!$A:$A,'Product Master'!$C:$C,,0)</f>
        <v>2</v>
      </c>
    </row>
    <row r="52" spans="1:9" ht="15.75">
      <c r="A52" s="8" t="s">
        <v>82</v>
      </c>
      <c r="B52" s="14">
        <v>635</v>
      </c>
      <c r="C52" s="14">
        <f>SUMIFS('Stock in-out'!$D:$D,'Stock in-out'!$B:$B,"In",'Stock in-out'!$A:$A,A52)</f>
        <v>0</v>
      </c>
      <c r="D52" s="14">
        <f>SUMIFS('Stock in-out'!$D:$D,'Stock in-out'!$B:$B,"Out",'Stock in-out'!$A:$A,A52)</f>
        <v>0</v>
      </c>
      <c r="E52" s="14">
        <f t="shared" si="2"/>
        <v>635</v>
      </c>
      <c r="F52" s="15">
        <f>_xlfn.XLOOKUP(Inventory!A61,'Product Master'!$A:$A,'Product Master'!$B:$B,,0)*E52</f>
        <v>7297.8268398268447</v>
      </c>
      <c r="G52" s="14">
        <f>_xlfn.XLOOKUP(A52,'Product Master'!$A:$A,'Product Master'!$D:$D,,0)</f>
        <v>2</v>
      </c>
      <c r="H52" s="14" t="str">
        <f t="shared" si="3"/>
        <v>No</v>
      </c>
      <c r="I52" s="14">
        <f>_xlfn.XLOOKUP(A52,'Product Master'!$A:$A,'Product Master'!$C:$C,,0)</f>
        <v>3</v>
      </c>
    </row>
    <row r="53" spans="1:9" ht="15.75">
      <c r="A53" s="8" t="s">
        <v>65</v>
      </c>
      <c r="B53" s="14">
        <v>51</v>
      </c>
      <c r="C53" s="14">
        <f>SUMIFS('Stock in-out'!$D:$D,'Stock in-out'!$B:$B,"In",'Stock in-out'!$A:$A,A53)</f>
        <v>0</v>
      </c>
      <c r="D53" s="14">
        <f>SUMIFS('Stock in-out'!$D:$D,'Stock in-out'!$B:$B,"Out",'Stock in-out'!$A:$A,A53)</f>
        <v>0</v>
      </c>
      <c r="E53" s="14">
        <f t="shared" si="2"/>
        <v>51</v>
      </c>
      <c r="F53" s="15">
        <f>_xlfn.XLOOKUP(Inventory!A44,'Product Master'!$A:$A,'Product Master'!$B:$B,,0)*E53</f>
        <v>1004.8545454545452</v>
      </c>
      <c r="G53" s="14">
        <f>_xlfn.XLOOKUP(A53,'Product Master'!$A:$A,'Product Master'!$D:$D,,0)</f>
        <v>2</v>
      </c>
      <c r="H53" s="14" t="str">
        <f t="shared" si="3"/>
        <v>No</v>
      </c>
      <c r="I53" s="14">
        <f>_xlfn.XLOOKUP(A53,'Product Master'!$A:$A,'Product Master'!$C:$C,,0)</f>
        <v>1</v>
      </c>
    </row>
    <row r="54" spans="1:9" ht="15.75">
      <c r="A54" s="8" t="s">
        <v>53</v>
      </c>
      <c r="B54" s="14">
        <v>1</v>
      </c>
      <c r="C54" s="14">
        <f>SUMIFS('Stock in-out'!$D:$D,'Stock in-out'!$B:$B,"In",'Stock in-out'!$A:$A,A54)</f>
        <v>0</v>
      </c>
      <c r="D54" s="14">
        <f>SUMIFS('Stock in-out'!$D:$D,'Stock in-out'!$B:$B,"Out",'Stock in-out'!$A:$A,A54)</f>
        <v>0</v>
      </c>
      <c r="E54" s="14">
        <f t="shared" si="2"/>
        <v>1</v>
      </c>
      <c r="F54" s="15">
        <f>_xlfn.XLOOKUP(Inventory!A32,'Product Master'!$A:$A,'Product Master'!$B:$B,,0)*E54</f>
        <v>14.3238095238095</v>
      </c>
      <c r="G54" s="14">
        <f>_xlfn.XLOOKUP(A54,'Product Master'!$A:$A,'Product Master'!$D:$D,,0)</f>
        <v>2</v>
      </c>
      <c r="H54" s="14" t="str">
        <f t="shared" si="3"/>
        <v>Yes</v>
      </c>
      <c r="I54" s="14">
        <f>_xlfn.XLOOKUP(A54,'Product Master'!$A:$A,'Product Master'!$C:$C,,0)</f>
        <v>2</v>
      </c>
    </row>
    <row r="55" spans="1:9" ht="15.75">
      <c r="A55" s="8" t="s">
        <v>58</v>
      </c>
      <c r="B55" s="14">
        <v>6</v>
      </c>
      <c r="C55" s="14">
        <f>SUMIFS('Stock in-out'!$D:$D,'Stock in-out'!$B:$B,"In",'Stock in-out'!$A:$A,A55)</f>
        <v>0</v>
      </c>
      <c r="D55" s="14">
        <f>SUMIFS('Stock in-out'!$D:$D,'Stock in-out'!$B:$B,"Out",'Stock in-out'!$A:$A,A55)</f>
        <v>0</v>
      </c>
      <c r="E55" s="14">
        <f t="shared" si="2"/>
        <v>6</v>
      </c>
      <c r="F55" s="15">
        <f>_xlfn.XLOOKUP(Inventory!A37,'Product Master'!$A:$A,'Product Master'!$B:$B,,0)*E55</f>
        <v>119.9168831168832</v>
      </c>
      <c r="G55" s="14">
        <f>_xlfn.XLOOKUP(A55,'Product Master'!$A:$A,'Product Master'!$D:$D,,0)</f>
        <v>2</v>
      </c>
      <c r="H55" s="14" t="str">
        <f t="shared" si="3"/>
        <v>No</v>
      </c>
      <c r="I55" s="14">
        <f>_xlfn.XLOOKUP(A55,'Product Master'!$A:$A,'Product Master'!$C:$C,,0)</f>
        <v>2</v>
      </c>
    </row>
    <row r="56" spans="1:9" ht="15.75">
      <c r="A56" s="8" t="s">
        <v>59</v>
      </c>
      <c r="B56" s="14">
        <v>224</v>
      </c>
      <c r="C56" s="14">
        <f>SUMIFS('Stock in-out'!$D:$D,'Stock in-out'!$B:$B,"In",'Stock in-out'!$A:$A,A56)</f>
        <v>0</v>
      </c>
      <c r="D56" s="14">
        <f>SUMIFS('Stock in-out'!$D:$D,'Stock in-out'!$B:$B,"Out",'Stock in-out'!$A:$A,A56)</f>
        <v>0</v>
      </c>
      <c r="E56" s="14">
        <f t="shared" si="2"/>
        <v>224</v>
      </c>
      <c r="F56" s="15">
        <f>_xlfn.XLOOKUP(Inventory!A38,'Product Master'!$A:$A,'Product Master'!$B:$B,,0)*E56</f>
        <v>2688</v>
      </c>
      <c r="G56" s="14">
        <f>_xlfn.XLOOKUP(A56,'Product Master'!$A:$A,'Product Master'!$D:$D,,0)</f>
        <v>2</v>
      </c>
      <c r="H56" s="14" t="str">
        <f t="shared" si="3"/>
        <v>No</v>
      </c>
      <c r="I56" s="14">
        <f>_xlfn.XLOOKUP(A56,'Product Master'!$A:$A,'Product Master'!$C:$C,,0)</f>
        <v>3</v>
      </c>
    </row>
    <row r="57" spans="1:9" ht="15.75">
      <c r="A57" s="8" t="s">
        <v>51</v>
      </c>
      <c r="B57" s="14">
        <v>13</v>
      </c>
      <c r="C57" s="14">
        <f>SUMIFS('Stock in-out'!$D:$D,'Stock in-out'!$B:$B,"In",'Stock in-out'!$A:$A,A57)</f>
        <v>0</v>
      </c>
      <c r="D57" s="14">
        <f>SUMIFS('Stock in-out'!$D:$D,'Stock in-out'!$B:$B,"Out",'Stock in-out'!$A:$A,A57)</f>
        <v>0</v>
      </c>
      <c r="E57" s="14">
        <f t="shared" si="2"/>
        <v>13</v>
      </c>
      <c r="F57" s="15">
        <f>_xlfn.XLOOKUP(Inventory!A30,'Product Master'!$A:$A,'Product Master'!$B:$B,,0)*E57</f>
        <v>215.6536796536798</v>
      </c>
      <c r="G57" s="14">
        <f>_xlfn.XLOOKUP(A57,'Product Master'!$A:$A,'Product Master'!$D:$D,,0)</f>
        <v>2</v>
      </c>
      <c r="H57" s="14" t="str">
        <f t="shared" si="3"/>
        <v>No</v>
      </c>
      <c r="I57" s="14">
        <f>_xlfn.XLOOKUP(A57,'Product Master'!$A:$A,'Product Master'!$C:$C,,0)</f>
        <v>1</v>
      </c>
    </row>
    <row r="58" spans="1:9" ht="15.75">
      <c r="A58" s="8" t="s">
        <v>83</v>
      </c>
      <c r="B58" s="14">
        <v>13</v>
      </c>
      <c r="C58" s="14">
        <f>SUMIFS('Stock in-out'!$D:$D,'Stock in-out'!$B:$B,"In",'Stock in-out'!$A:$A,A58)</f>
        <v>0</v>
      </c>
      <c r="D58" s="14">
        <f>SUMIFS('Stock in-out'!$D:$D,'Stock in-out'!$B:$B,"Out",'Stock in-out'!$A:$A,A58)</f>
        <v>0</v>
      </c>
      <c r="E58" s="14">
        <f t="shared" si="2"/>
        <v>13</v>
      </c>
      <c r="F58" s="15">
        <f>_xlfn.XLOOKUP(Inventory!A62,'Product Master'!$A:$A,'Product Master'!$B:$B,,0)*E58</f>
        <v>26</v>
      </c>
      <c r="G58" s="14">
        <f>_xlfn.XLOOKUP(A58,'Product Master'!$A:$A,'Product Master'!$D:$D,,0)</f>
        <v>2</v>
      </c>
      <c r="H58" s="14" t="str">
        <f t="shared" si="3"/>
        <v>No</v>
      </c>
      <c r="I58" s="14">
        <f>_xlfn.XLOOKUP(A58,'Product Master'!$A:$A,'Product Master'!$C:$C,,0)</f>
        <v>2</v>
      </c>
    </row>
    <row r="59" spans="1:9" ht="15.75">
      <c r="A59" s="8" t="s">
        <v>68</v>
      </c>
      <c r="B59" s="14">
        <v>513</v>
      </c>
      <c r="C59" s="14">
        <f>SUMIFS('Stock in-out'!$D:$D,'Stock in-out'!$B:$B,"In",'Stock in-out'!$A:$A,A59)</f>
        <v>0</v>
      </c>
      <c r="D59" s="14">
        <f>SUMIFS('Stock in-out'!$D:$D,'Stock in-out'!$B:$B,"Out",'Stock in-out'!$A:$A,A59)</f>
        <v>0</v>
      </c>
      <c r="E59" s="14">
        <f t="shared" si="2"/>
        <v>513</v>
      </c>
      <c r="F59" s="15">
        <f>_xlfn.XLOOKUP(Inventory!A47,'Product Master'!$A:$A,'Product Master'!$B:$B,,0)*E59</f>
        <v>6331.4415584415365</v>
      </c>
      <c r="G59" s="14">
        <f>_xlfn.XLOOKUP(A59,'Product Master'!$A:$A,'Product Master'!$D:$D,,0)</f>
        <v>2</v>
      </c>
      <c r="H59" s="14" t="str">
        <f t="shared" si="3"/>
        <v>No</v>
      </c>
      <c r="I59" s="14">
        <f>_xlfn.XLOOKUP(A59,'Product Master'!$A:$A,'Product Master'!$C:$C,,0)</f>
        <v>3</v>
      </c>
    </row>
    <row r="60" spans="1:9" ht="15.75">
      <c r="A60" s="8" t="s">
        <v>66</v>
      </c>
      <c r="B60" s="14">
        <v>635</v>
      </c>
      <c r="C60" s="14">
        <f>SUMIFS('Stock in-out'!$D:$D,'Stock in-out'!$B:$B,"In",'Stock in-out'!$A:$A,A60)</f>
        <v>0</v>
      </c>
      <c r="D60" s="14">
        <f>SUMIFS('Stock in-out'!$D:$D,'Stock in-out'!$B:$B,"Out",'Stock in-out'!$A:$A,A60)</f>
        <v>0</v>
      </c>
      <c r="E60" s="14">
        <f t="shared" si="2"/>
        <v>635</v>
      </c>
      <c r="F60" s="15">
        <f>_xlfn.XLOOKUP(Inventory!A45,'Product Master'!$A:$A,'Product Master'!$B:$B,,0)*E60</f>
        <v>7118.0476190476129</v>
      </c>
      <c r="G60" s="14">
        <f>_xlfn.XLOOKUP(A60,'Product Master'!$A:$A,'Product Master'!$D:$D,,0)</f>
        <v>2</v>
      </c>
      <c r="H60" s="14" t="str">
        <f t="shared" si="3"/>
        <v>No</v>
      </c>
      <c r="I60" s="14">
        <f>_xlfn.XLOOKUP(A60,'Product Master'!$A:$A,'Product Master'!$C:$C,,0)</f>
        <v>1</v>
      </c>
    </row>
    <row r="61" spans="1:9" ht="15.75">
      <c r="A61" s="8" t="s">
        <v>45</v>
      </c>
      <c r="B61" s="14">
        <v>165</v>
      </c>
      <c r="C61" s="14">
        <f>SUMIFS('Stock in-out'!$D:$D,'Stock in-out'!$B:$B,"In",'Stock in-out'!$A:$A,A61)</f>
        <v>0</v>
      </c>
      <c r="D61" s="14">
        <f>SUMIFS('Stock in-out'!$D:$D,'Stock in-out'!$B:$B,"Out",'Stock in-out'!$A:$A,A61)</f>
        <v>0</v>
      </c>
      <c r="E61" s="14">
        <f t="shared" si="2"/>
        <v>165</v>
      </c>
      <c r="F61" s="15">
        <f>_xlfn.XLOOKUP(Inventory!A24,'Product Master'!$A:$A,'Product Master'!$B:$B,,0)*E61</f>
        <v>495</v>
      </c>
      <c r="G61" s="14">
        <f>_xlfn.XLOOKUP(A61,'Product Master'!$A:$A,'Product Master'!$D:$D,,0)</f>
        <v>2</v>
      </c>
      <c r="H61" s="14" t="str">
        <f t="shared" si="3"/>
        <v>No</v>
      </c>
      <c r="I61" s="14">
        <f>_xlfn.XLOOKUP(A61,'Product Master'!$A:$A,'Product Master'!$C:$C,,0)</f>
        <v>2</v>
      </c>
    </row>
    <row r="62" spans="1:9" ht="15.75">
      <c r="A62" s="8" t="s">
        <v>13</v>
      </c>
      <c r="B62" s="14">
        <f>SUMIFS('Stock in-out'!$D:$D,'Stock in-out'!$B:$B,"Opening stock",'Stock in-out'!$A:$A,'Stock in-out'!A17)</f>
        <v>3</v>
      </c>
      <c r="C62" s="14">
        <f>SUMIFS('Stock in-out'!$D:$D,'Stock in-out'!$B:$B,"In",'Stock in-out'!$A:$A,A62)</f>
        <v>0</v>
      </c>
      <c r="D62" s="14">
        <f>SUMIFS('Stock in-out'!$D:$D,'Stock in-out'!$B:$B,"Out",'Stock in-out'!$A:$A,A62)</f>
        <v>0</v>
      </c>
      <c r="E62" s="14">
        <f t="shared" si="2"/>
        <v>3</v>
      </c>
      <c r="F62" s="15">
        <f>_xlfn.XLOOKUP(Inventory!A17,'Product Master'!$A:$A,'Product Master'!$B:$B,,0)*E62</f>
        <v>63</v>
      </c>
      <c r="G62" s="14">
        <f>_xlfn.XLOOKUP(A62,'Product Master'!$A:$A,'Product Master'!$D:$D,,0)</f>
        <v>5</v>
      </c>
      <c r="H62" s="14" t="str">
        <f t="shared" si="3"/>
        <v>Yes</v>
      </c>
      <c r="I62" s="14">
        <f>_xlfn.XLOOKUP(A62,'Product Master'!$A:$A,'Product Master'!$C:$C,,0)</f>
        <v>3</v>
      </c>
    </row>
  </sheetData>
  <conditionalFormatting sqref="E1:E1048576">
    <cfRule type="cellIs" dxfId="14" priority="1" operator="lessThan">
      <formula>0</formula>
    </cfRule>
  </conditionalFormatting>
  <pageMargins left="0.7" right="0.7" top="0.75" bottom="0.75" header="0.3" footer="0.3"/>
  <pageSetup paperSize="256" orientation="portrait" horizontalDpi="203" verticalDpi="203"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Usage</vt:lpstr>
      <vt:lpstr>Report</vt:lpstr>
      <vt:lpstr>Support</vt:lpstr>
      <vt:lpstr>Product Master</vt:lpstr>
      <vt:lpstr>Stock in-out</vt:lpstr>
      <vt:lpstr>Inventory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Alhaji Alhaji</dc:creator>
  <cp:lastModifiedBy>Alhaji Alhaji</cp:lastModifiedBy>
  <dcterms:created xsi:type="dcterms:W3CDTF">2023-03-12T17:43:52Z</dcterms:created>
  <dcterms:modified xsi:type="dcterms:W3CDTF">2023-03-20T15:33:41Z</dcterms:modified>
</cp:coreProperties>
</file>